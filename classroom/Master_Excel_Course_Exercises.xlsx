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🏠 Course Roadmap" sheetId="1" state="visible" r:id="rId1"/>
    <sheet xmlns:r="http://schemas.openxmlformats.org/officeDocument/2006/relationships" name="01_Shortcuts" sheetId="2" state="visible" r:id="rId2"/>
    <sheet xmlns:r="http://schemas.openxmlformats.org/officeDocument/2006/relationships" name="M1_Basics_Navigation" sheetId="3" state="visible" r:id="rId3"/>
    <sheet xmlns:r="http://schemas.openxmlformats.org/officeDocument/2006/relationships" name="M2_Formatting_Math" sheetId="4" state="visible" r:id="rId4"/>
    <sheet xmlns:r="http://schemas.openxmlformats.org/officeDocument/2006/relationships" name="M3_Logic_IF_AND_OR" sheetId="5" state="visible" r:id="rId5"/>
    <sheet xmlns:r="http://schemas.openxmlformats.org/officeDocument/2006/relationships" name="M3_Text_Cleaning" sheetId="6" state="visible" r:id="rId6"/>
    <sheet xmlns:r="http://schemas.openxmlformats.org/officeDocument/2006/relationships" name="M4_Cleaning_Tables" sheetId="7" state="visible" r:id="rId7"/>
    <sheet xmlns:r="http://schemas.openxmlformats.org/officeDocument/2006/relationships" name="M5_Lookups_V_X_Index" sheetId="8" state="visible" r:id="rId8"/>
    <sheet xmlns:r="http://schemas.openxmlformats.org/officeDocument/2006/relationships" name="M5_Dates_Formatting" sheetId="9" state="visible" r:id="rId9"/>
    <sheet xmlns:r="http://schemas.openxmlformats.org/officeDocument/2006/relationships" name="M5_COUNTIFS_SUMIFS" sheetId="10" state="visible" r:id="rId10"/>
    <sheet xmlns:r="http://schemas.openxmlformats.org/officeDocument/2006/relationships" name="M6_Charts_Visuals" sheetId="11" state="visible" r:id="rId11"/>
    <sheet xmlns:r="http://schemas.openxmlformats.org/officeDocument/2006/relationships" name="M6_PivotTables_Slicers" sheetId="12" state="visible" r:id="rId12"/>
    <sheet xmlns:r="http://schemas.openxmlformats.org/officeDocument/2006/relationships" name="M6_Mini_Dashboard" sheetId="13" state="visible" r:id="rId13"/>
    <sheet xmlns:r="http://schemas.openxmlformats.org/officeDocument/2006/relationships" name="M6_Macros_Security" sheetId="14" state="visible" r:id="rId14"/>
    <sheet xmlns:r="http://schemas.openxmlformats.org/officeDocument/2006/relationships" name="Capstone_Tracker" sheetId="15" state="visible" r:id="rId15"/>
    <sheet xmlns:r="http://schemas.openxmlformats.org/officeDocument/2006/relationships" name="Master_Solutions_Ke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4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4A607A"/>
      <sz val="9"/>
    </font>
    <font>
      <name val="Segoe UI"/>
      <b val="1"/>
      <sz val="9"/>
    </font>
    <font>
      <name val="Segoe UI"/>
      <sz val="9"/>
    </font>
    <font>
      <name val="Segoe UI"/>
      <b val="1"/>
      <color rgb="00FFFFFF"/>
      <sz val="9"/>
    </font>
    <font>
      <name val="Segoe UI"/>
      <b val="1"/>
      <color rgb="00004B87"/>
      <sz val="9"/>
      <u val="single"/>
    </font>
    <font>
      <name val="Segoe UI"/>
      <b val="1"/>
      <color rgb="001B365D"/>
      <sz val="11"/>
    </font>
    <font>
      <name val="Segoe UI"/>
      <i val="1"/>
      <color rgb="00475569"/>
      <sz val="8"/>
    </font>
    <font>
      <name val="Consolas"/>
      <color rgb="001B365D"/>
      <sz val="9"/>
    </font>
    <font>
      <name val="Segoe UI"/>
      <b val="1"/>
      <color rgb="0064748B"/>
      <sz val="9"/>
    </font>
    <font>
      <name val="Segoe UI"/>
      <b val="1"/>
      <color rgb="001B365D"/>
      <sz val="18"/>
    </font>
    <font>
      <name val="Segoe UI"/>
      <i val="1"/>
      <color rgb="0094A3B8"/>
      <sz val="8"/>
    </font>
    <font>
      <name val="Consolas"/>
      <b val="1"/>
      <color rgb="001B365D"/>
      <sz val="9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8E7"/>
        <bgColor rgb="00FFF8E7"/>
      </patternFill>
    </fill>
    <fill>
      <patternFill patternType="solid">
        <fgColor rgb="00E8F5E9"/>
        <bgColor rgb="00E8F5E9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7" fillId="0" borderId="0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8" fillId="0" borderId="0" pivotButton="0" quotePrefix="0" xfId="0"/>
    <xf numFmtId="3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65" fontId="0" fillId="0" borderId="1" pivotButton="0" quotePrefix="0" xfId="0"/>
    <xf numFmtId="166" fontId="0" fillId="0" borderId="1" pivotButton="0" quotePrefix="0" xfId="0"/>
    <xf numFmtId="165" fontId="0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0" fontId="10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Shortcuts'!A1" TargetMode="External" Id="rId1"/><Relationship Type="http://schemas.openxmlformats.org/officeDocument/2006/relationships/hyperlink" Target="#'M1_Basics_Navigation'!A1" TargetMode="External" Id="rId2"/><Relationship Type="http://schemas.openxmlformats.org/officeDocument/2006/relationships/hyperlink" Target="#'M2_Formatting_Math'!A1" TargetMode="External" Id="rId3"/><Relationship Type="http://schemas.openxmlformats.org/officeDocument/2006/relationships/hyperlink" Target="#'M3_Logic_IF_AND_OR'!A1" TargetMode="External" Id="rId4"/><Relationship Type="http://schemas.openxmlformats.org/officeDocument/2006/relationships/hyperlink" Target="#'M3_Text_Cleaning'!A1" TargetMode="External" Id="rId5"/><Relationship Type="http://schemas.openxmlformats.org/officeDocument/2006/relationships/hyperlink" Target="#'M4_Cleaning_Tables'!A1" TargetMode="External" Id="rId6"/><Relationship Type="http://schemas.openxmlformats.org/officeDocument/2006/relationships/hyperlink" Target="#'M5_Lookups_V_X_Index'!A1" TargetMode="External" Id="rId7"/><Relationship Type="http://schemas.openxmlformats.org/officeDocument/2006/relationships/hyperlink" Target="#'M5_Dates_Formatting'!A1" TargetMode="External" Id="rId8"/><Relationship Type="http://schemas.openxmlformats.org/officeDocument/2006/relationships/hyperlink" Target="#'M5_COUNTIFS_SUMIFS'!A1" TargetMode="External" Id="rId9"/><Relationship Type="http://schemas.openxmlformats.org/officeDocument/2006/relationships/hyperlink" Target="#'M6_Charts_Visuals'!A1" TargetMode="External" Id="rId10"/><Relationship Type="http://schemas.openxmlformats.org/officeDocument/2006/relationships/hyperlink" Target="#'M6_PivotTables_Slicers'!A1" TargetMode="External" Id="rId11"/><Relationship Type="http://schemas.openxmlformats.org/officeDocument/2006/relationships/hyperlink" Target="#'M6_Mini_Dashboard'!A1" TargetMode="External" Id="rId12"/><Relationship Type="http://schemas.openxmlformats.org/officeDocument/2006/relationships/hyperlink" Target="#'M6_Macros_Security'!A1" TargetMode="External" Id="rId13"/><Relationship Type="http://schemas.openxmlformats.org/officeDocument/2006/relationships/hyperlink" Target="#'Capstone_Tracker'!A1" TargetMode="External" Id="rId14"/><Relationship Type="http://schemas.openxmlformats.org/officeDocument/2006/relationships/hyperlink" Target="#'Master_Solutions_Key'!A1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&#127968; Course Roadmap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50" customWidth="1" min="4" max="4"/>
    <col width="15" customWidth="1" min="5" max="5"/>
    <col width="18" customWidth="1" min="6" max="6"/>
    <col width="14" customWidth="1" min="7" max="7"/>
  </cols>
  <sheetData>
    <row r="1"/>
    <row r="2">
      <c r="B2" s="1" t="inlineStr">
        <is>
          <t>🎓 MICROSOFT EXCEL MASTERCLASS</t>
        </is>
      </c>
    </row>
    <row r="3">
      <c r="B3" s="2" t="inlineStr">
        <is>
          <t>Comprehensive Guided Practice Workbook · Connected to All 6 Modules &amp; 64 Lessons</t>
        </is>
      </c>
    </row>
    <row r="4"/>
    <row r="5">
      <c r="B5" s="3" t="inlineStr">
        <is>
          <t>👋 Welcome, Future Excel Specialist!</t>
        </is>
      </c>
    </row>
    <row r="6">
      <c r="B6" s="3" t="inlineStr">
        <is>
          <t>Every single sheet in this workbook pairs directly with a lesson in the Online Classroom (Excel_Master_Course_Hub.html).</t>
        </is>
      </c>
    </row>
    <row r="7">
      <c r="B7" s="4" t="inlineStr">
        <is>
          <t>🟡 Yellow Columns [YOUR TURN]: Type your formulas here.</t>
        </is>
      </c>
    </row>
    <row r="8">
      <c r="B8" s="4" t="inlineStr">
        <is>
          <t>🟢 Green Columns [AUTOMATED CHECK]: Automatically validates your formula and gives instant feedback (✅ Correct!).</t>
        </is>
      </c>
    </row>
    <row r="9">
      <c r="B9" s="4" t="inlineStr">
        <is>
          <t>🔑 Solutions Sheet: Need help? Check the final sheet for step-by-step formula breakdowns.</t>
        </is>
      </c>
    </row>
    <row r="10">
      <c r="B10" s="4" t="inlineStr">
        <is>
          <t>Click any sheet link below to jump directly to that exercise.</t>
        </is>
      </c>
    </row>
    <row r="11"/>
    <row r="12">
      <c r="B12" s="5" t="inlineStr">
        <is>
          <t>Module</t>
        </is>
      </c>
      <c r="C12" s="5" t="inlineStr">
        <is>
          <t>Worksheet Name</t>
        </is>
      </c>
      <c r="D12" s="5" t="inlineStr">
        <is>
          <t>Matching Course Topic &amp; Focus</t>
        </is>
      </c>
      <c r="E12" s="5" t="inlineStr">
        <is>
          <t>Difficulty</t>
        </is>
      </c>
      <c r="F12" s="5" t="inlineStr">
        <is>
          <t>Slide Reference</t>
        </is>
      </c>
      <c r="G12" s="5" t="inlineStr">
        <is>
          <t>Your Status</t>
        </is>
      </c>
    </row>
    <row r="13">
      <c r="B13" s="6" t="inlineStr">
        <is>
          <t>Reference</t>
        </is>
      </c>
      <c r="C13" s="7" t="inlineStr">
        <is>
          <t>01_Shortcuts</t>
        </is>
      </c>
      <c r="D13" s="8" t="inlineStr">
        <is>
          <t>Top 30 Time-Saving Shortcuts &amp; Keystroke Drills</t>
        </is>
      </c>
      <c r="E13" s="6" t="inlineStr">
        <is>
          <t>All Levels</t>
        </is>
      </c>
      <c r="F13" s="6" t="inlineStr">
        <is>
          <t>Slides 9, 21, 55</t>
        </is>
      </c>
      <c r="G13" s="6" t="inlineStr">
        <is>
          <t>Ready</t>
        </is>
      </c>
    </row>
    <row r="14">
      <c r="B14" s="9" t="inlineStr">
        <is>
          <t>Module 1</t>
        </is>
      </c>
      <c r="C14" s="10" t="inlineStr">
        <is>
          <t>M1_Basics_Navigation</t>
        </is>
      </c>
      <c r="D14" s="11" t="inlineStr">
        <is>
          <t>Screen Anatomy, Data Types, Freeze Panes &amp; AutoFill</t>
        </is>
      </c>
      <c r="E14" s="9" t="inlineStr">
        <is>
          <t>Beginner</t>
        </is>
      </c>
      <c r="F14" s="9" t="inlineStr">
        <is>
          <t>Slides 2–13</t>
        </is>
      </c>
      <c r="G14" s="9" t="inlineStr">
        <is>
          <t>Not Started</t>
        </is>
      </c>
    </row>
    <row r="15">
      <c r="B15" s="6" t="inlineStr">
        <is>
          <t>Module 2</t>
        </is>
      </c>
      <c r="C15" s="7" t="inlineStr">
        <is>
          <t>M2_Formatting_Math</t>
        </is>
      </c>
      <c r="D15" s="8" t="inlineStr">
        <is>
          <t>Formatting, Math Operators, SUM, AVERAGE, MIN, MAX, AutoSum</t>
        </is>
      </c>
      <c r="E15" s="6" t="inlineStr">
        <is>
          <t>Beginner</t>
        </is>
      </c>
      <c r="F15" s="6" t="inlineStr">
        <is>
          <t>Slides 14–22</t>
        </is>
      </c>
      <c r="G15" s="6" t="inlineStr">
        <is>
          <t>Not Started</t>
        </is>
      </c>
    </row>
    <row r="16">
      <c r="B16" s="9" t="inlineStr">
        <is>
          <t>Module 3</t>
        </is>
      </c>
      <c r="C16" s="10" t="inlineStr">
        <is>
          <t>M3_Logic_IF_AND_OR</t>
        </is>
      </c>
      <c r="D16" s="11" t="inlineStr">
        <is>
          <t>Decision Logic: IF, AND, OR, NOT, IFS, IFERROR &amp; Nested IF</t>
        </is>
      </c>
      <c r="E16" s="9" t="inlineStr">
        <is>
          <t>Intermediate</t>
        </is>
      </c>
      <c r="F16" s="9" t="inlineStr">
        <is>
          <t>Slides 23–26</t>
        </is>
      </c>
      <c r="G16" s="9" t="inlineStr">
        <is>
          <t>Not Started</t>
        </is>
      </c>
    </row>
    <row r="17">
      <c r="B17" s="6" t="inlineStr">
        <is>
          <t>Module 3</t>
        </is>
      </c>
      <c r="C17" s="7" t="inlineStr">
        <is>
          <t>M3_Text_Cleaning</t>
        </is>
      </c>
      <c r="D17" s="8" t="inlineStr">
        <is>
          <t>Text Functions: TRIM, PROPER, UPPER, LEFT, RIGHT, MID, CONCAT</t>
        </is>
      </c>
      <c r="E17" s="6" t="inlineStr">
        <is>
          <t>Intermediate</t>
        </is>
      </c>
      <c r="F17" s="6" t="inlineStr">
        <is>
          <t>Slides 27–31</t>
        </is>
      </c>
      <c r="G17" s="6" t="inlineStr">
        <is>
          <t>Not Started</t>
        </is>
      </c>
    </row>
    <row r="18">
      <c r="B18" s="9" t="inlineStr">
        <is>
          <t>Module 4</t>
        </is>
      </c>
      <c r="C18" s="10" t="inlineStr">
        <is>
          <t>M4_Cleaning_Tables</t>
        </is>
      </c>
      <c r="D18" s="11" t="inlineStr">
        <is>
          <t>Deduplication, Data Validation Dropdowns, Excel Tables (Ctrl+T)</t>
        </is>
      </c>
      <c r="E18" s="9" t="inlineStr">
        <is>
          <t>Intermediate</t>
        </is>
      </c>
      <c r="F18" s="9" t="inlineStr">
        <is>
          <t>Slides 32–40</t>
        </is>
      </c>
      <c r="G18" s="9" t="inlineStr">
        <is>
          <t>Not Started</t>
        </is>
      </c>
    </row>
    <row r="19">
      <c r="B19" s="6" t="inlineStr">
        <is>
          <t>Module 5</t>
        </is>
      </c>
      <c r="C19" s="7" t="inlineStr">
        <is>
          <t>M5_Lookups_V_X_Index</t>
        </is>
      </c>
      <c r="D19" s="8" t="inlineStr">
        <is>
          <t>Lookups: VLOOKUP, Modern XLOOKUP, INDEX &amp; MATCH</t>
        </is>
      </c>
      <c r="E19" s="6" t="inlineStr">
        <is>
          <t>Advanced</t>
        </is>
      </c>
      <c r="F19" s="6" t="inlineStr">
        <is>
          <t>Slides 41–44</t>
        </is>
      </c>
      <c r="G19" s="6" t="inlineStr">
        <is>
          <t>Not Started</t>
        </is>
      </c>
    </row>
    <row r="20">
      <c r="B20" s="9" t="inlineStr">
        <is>
          <t>Module 5</t>
        </is>
      </c>
      <c r="C20" s="10" t="inlineStr">
        <is>
          <t>M5_Dates_Formatting</t>
        </is>
      </c>
      <c r="D20" s="11" t="inlineStr">
        <is>
          <t>Date Calculations (TODAY, DATEDIF, NETWORKDAYS) &amp; Cond. Format</t>
        </is>
      </c>
      <c r="E20" s="9" t="inlineStr">
        <is>
          <t>Advanced</t>
        </is>
      </c>
      <c r="F20" s="9" t="inlineStr">
        <is>
          <t>Slides 45–46</t>
        </is>
      </c>
      <c r="G20" s="9" t="inlineStr">
        <is>
          <t>Not Started</t>
        </is>
      </c>
    </row>
    <row r="21">
      <c r="B21" s="6" t="inlineStr">
        <is>
          <t>Module 5</t>
        </is>
      </c>
      <c r="C21" s="7" t="inlineStr">
        <is>
          <t>M5_COUNTIFS_SUMIFS</t>
        </is>
      </c>
      <c r="D21" s="8" t="inlineStr">
        <is>
          <t>Multi-Criteria Aggregation: COUNTIF, COUNTIFS, SUMIFS, AVERAGEIF</t>
        </is>
      </c>
      <c r="E21" s="6" t="inlineStr">
        <is>
          <t>Advanced</t>
        </is>
      </c>
      <c r="F21" s="6" t="inlineStr">
        <is>
          <t>Slide 47</t>
        </is>
      </c>
      <c r="G21" s="6" t="inlineStr">
        <is>
          <t>Not Started</t>
        </is>
      </c>
    </row>
    <row r="22">
      <c r="B22" s="9" t="inlineStr">
        <is>
          <t>Module 6</t>
        </is>
      </c>
      <c r="C22" s="10" t="inlineStr">
        <is>
          <t>M6_Charts_Visuals</t>
        </is>
      </c>
      <c r="D22" s="11" t="inlineStr">
        <is>
          <t>Data Visualization: Column Charts, Trend Lines &amp; Sparklines</t>
        </is>
      </c>
      <c r="E22" s="9" t="inlineStr">
        <is>
          <t>Advanced</t>
        </is>
      </c>
      <c r="F22" s="9" t="inlineStr">
        <is>
          <t>Slides 49–51, 58</t>
        </is>
      </c>
      <c r="G22" s="9" t="inlineStr">
        <is>
          <t>Not Started</t>
        </is>
      </c>
    </row>
    <row r="23">
      <c r="B23" s="6" t="inlineStr">
        <is>
          <t>Module 6</t>
        </is>
      </c>
      <c r="C23" s="7" t="inlineStr">
        <is>
          <t>M6_PivotTables_Slicers</t>
        </is>
      </c>
      <c r="D23" s="8" t="inlineStr">
        <is>
          <t>PivotTables, PivotCharts &amp; Interactive Slicers (100+ Rows)</t>
        </is>
      </c>
      <c r="E23" s="6" t="inlineStr">
        <is>
          <t>Advanced</t>
        </is>
      </c>
      <c r="F23" s="6" t="inlineStr">
        <is>
          <t>Slides 52–55</t>
        </is>
      </c>
      <c r="G23" s="6" t="inlineStr">
        <is>
          <t>Not Started</t>
        </is>
      </c>
    </row>
    <row r="24">
      <c r="B24" s="9" t="inlineStr">
        <is>
          <t>Module 6</t>
        </is>
      </c>
      <c r="C24" s="10" t="inlineStr">
        <is>
          <t>M6_Mini_Dashboard</t>
        </is>
      </c>
      <c r="D24" s="11" t="inlineStr">
        <is>
          <t>Executive 1-Page Dashboard Canvas with KPI Summary Cards</t>
        </is>
      </c>
      <c r="E24" s="9" t="inlineStr">
        <is>
          <t>Advanced</t>
        </is>
      </c>
      <c r="F24" s="9" t="inlineStr">
        <is>
          <t>Slides 56–57</t>
        </is>
      </c>
      <c r="G24" s="9" t="inlineStr">
        <is>
          <t>Not Started</t>
        </is>
      </c>
    </row>
    <row r="25">
      <c r="B25" s="6" t="inlineStr">
        <is>
          <t>Module 6</t>
        </is>
      </c>
      <c r="C25" s="7" t="inlineStr">
        <is>
          <t>M6_Macros_Security</t>
        </is>
      </c>
      <c r="D25" s="8" t="inlineStr">
        <is>
          <t>Macro Recording Primer, Sheet Protection &amp; Formula Locking</t>
        </is>
      </c>
      <c r="E25" s="6" t="inlineStr">
        <is>
          <t>Advanced</t>
        </is>
      </c>
      <c r="F25" s="6" t="inlineStr">
        <is>
          <t>Slides 59–60</t>
        </is>
      </c>
      <c r="G25" s="6" t="inlineStr">
        <is>
          <t>Not Started</t>
        </is>
      </c>
    </row>
    <row r="26">
      <c r="B26" s="9" t="inlineStr">
        <is>
          <t>Capstone</t>
        </is>
      </c>
      <c r="C26" s="10" t="inlineStr">
        <is>
          <t>Capstone_Tracker</t>
        </is>
      </c>
      <c r="D26" s="11" t="inlineStr">
        <is>
          <t>Final Project: Employee Performance &amp; Compensation Master System</t>
        </is>
      </c>
      <c r="E26" s="9" t="inlineStr">
        <is>
          <t>Mastery</t>
        </is>
      </c>
      <c r="F26" s="9" t="inlineStr">
        <is>
          <t>Slides 61–64</t>
        </is>
      </c>
      <c r="G26" s="9" t="inlineStr">
        <is>
          <t>Not Started</t>
        </is>
      </c>
    </row>
    <row r="27">
      <c r="B27" s="6" t="inlineStr">
        <is>
          <t>Solutions</t>
        </is>
      </c>
      <c r="C27" s="7" t="inlineStr">
        <is>
          <t>Master_Solutions_Key</t>
        </is>
      </c>
      <c r="D27" s="8" t="inlineStr">
        <is>
          <t>Complete Formula Solutions &amp; Step-by-Step Logic Explanations</t>
        </is>
      </c>
      <c r="E27" s="6" t="inlineStr">
        <is>
          <t>All Levels</t>
        </is>
      </c>
      <c r="F27" s="6" t="inlineStr">
        <is>
          <t>All Slides</t>
        </is>
      </c>
      <c r="G27" s="6" t="inlineStr">
        <is>
          <t>Reference</t>
        </is>
      </c>
    </row>
  </sheetData>
  <hyperlinks>
    <hyperlink xmlns:r="http://schemas.openxmlformats.org/officeDocument/2006/relationships" ref="C13" r:id="rId1"/>
    <hyperlink xmlns:r="http://schemas.openxmlformats.org/officeDocument/2006/relationships" ref="C14" r:id="rId2"/>
    <hyperlink xmlns:r="http://schemas.openxmlformats.org/officeDocument/2006/relationships" ref="C15" r:id="rId3"/>
    <hyperlink xmlns:r="http://schemas.openxmlformats.org/officeDocument/2006/relationships" ref="C16" r:id="rId4"/>
    <hyperlink xmlns:r="http://schemas.openxmlformats.org/officeDocument/2006/relationships" ref="C17" r:id="rId5"/>
    <hyperlink xmlns:r="http://schemas.openxmlformats.org/officeDocument/2006/relationships" ref="C18" r:id="rId6"/>
    <hyperlink xmlns:r="http://schemas.openxmlformats.org/officeDocument/2006/relationships" ref="C19" r:id="rId7"/>
    <hyperlink xmlns:r="http://schemas.openxmlformats.org/officeDocument/2006/relationships" ref="C20" r:id="rId8"/>
    <hyperlink xmlns:r="http://schemas.openxmlformats.org/officeDocument/2006/relationships" ref="C21" r:id="rId9"/>
    <hyperlink xmlns:r="http://schemas.openxmlformats.org/officeDocument/2006/relationships" ref="C22" r:id="rId10"/>
    <hyperlink xmlns:r="http://schemas.openxmlformats.org/officeDocument/2006/relationships" ref="C23" r:id="rId11"/>
    <hyperlink xmlns:r="http://schemas.openxmlformats.org/officeDocument/2006/relationships" ref="C24" r:id="rId12"/>
    <hyperlink xmlns:r="http://schemas.openxmlformats.org/officeDocument/2006/relationships" ref="C25" r:id="rId13"/>
    <hyperlink xmlns:r="http://schemas.openxmlformats.org/officeDocument/2006/relationships" ref="C26" r:id="rId14"/>
    <hyperlink xmlns:r="http://schemas.openxmlformats.org/officeDocument/2006/relationships" ref="C27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32" customWidth="1" min="3" max="3"/>
    <col width="50" customWidth="1" min="4" max="4"/>
    <col width="43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⌨️ TOP 30 TIME-SAVING EXCEL SHORTCUTS</t>
        </is>
      </c>
    </row>
    <row r="3">
      <c r="A3" s="2" t="inlineStr">
        <is>
          <t>Reference Cheat Sheet | Slide Reference: Slides 9, 21, 55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Mastering keyboard shortcuts is what separates beginners from high-performing corporate analysts. Practice each drill below.</t>
        </is>
      </c>
    </row>
    <row r="7"/>
    <row r="8">
      <c r="A8" s="5" t="inlineStr">
        <is>
          <t>Domain</t>
        </is>
      </c>
      <c r="B8" s="5" t="inlineStr">
        <is>
          <t>Shortcut Key</t>
        </is>
      </c>
      <c r="C8" s="5" t="inlineStr">
        <is>
          <t>Action Performed</t>
        </is>
      </c>
      <c r="D8" s="5" t="inlineStr">
        <is>
          <t>Workplace Value</t>
        </is>
      </c>
      <c r="E8" s="5" t="inlineStr">
        <is>
          <t>Practical Drill</t>
        </is>
      </c>
    </row>
    <row r="9">
      <c r="A9" s="13" t="inlineStr">
        <is>
          <t>Navigation</t>
        </is>
      </c>
      <c r="B9" s="14" t="inlineStr">
        <is>
          <t>Ctrl + Arrow Keys</t>
        </is>
      </c>
      <c r="C9" s="15" t="inlineStr">
        <is>
          <t>Jump to edge of data block</t>
        </is>
      </c>
      <c r="D9" s="15" t="inlineStr">
        <is>
          <t>Traverse 50,000 rows in 0.1s without scrolling</t>
        </is>
      </c>
      <c r="E9" s="15" t="inlineStr">
        <is>
          <t>Press Ctrl+Down from A9 to find last row</t>
        </is>
      </c>
    </row>
    <row r="10">
      <c r="A10" s="16" t="inlineStr">
        <is>
          <t>Navigation</t>
        </is>
      </c>
      <c r="B10" s="17" t="inlineStr">
        <is>
          <t>Ctrl + Home</t>
        </is>
      </c>
      <c r="C10" s="18" t="inlineStr">
        <is>
          <t>Go to cell A1</t>
        </is>
      </c>
      <c r="D10" s="18" t="inlineStr">
        <is>
          <t>Instantly resets view anytime</t>
        </is>
      </c>
      <c r="E10" s="18" t="inlineStr">
        <is>
          <t>Press Ctrl+Home to reset</t>
        </is>
      </c>
    </row>
    <row r="11">
      <c r="A11" s="13" t="inlineStr">
        <is>
          <t>Navigation</t>
        </is>
      </c>
      <c r="B11" s="14" t="inlineStr">
        <is>
          <t>Ctrl + End</t>
        </is>
      </c>
      <c r="C11" s="15" t="inlineStr">
        <is>
          <t>Go to last used cell</t>
        </is>
      </c>
      <c r="D11" s="15" t="inlineStr">
        <is>
          <t>Detects phantom blank cells at table boundaries</t>
        </is>
      </c>
      <c r="E11" s="15" t="inlineStr">
        <is>
          <t>Press Ctrl+End to check boundary</t>
        </is>
      </c>
    </row>
    <row r="12">
      <c r="A12" s="16" t="inlineStr">
        <is>
          <t>Selection</t>
        </is>
      </c>
      <c r="B12" s="17" t="inlineStr">
        <is>
          <t>Ctrl + Shift + Arrow</t>
        </is>
      </c>
      <c r="C12" s="18" t="inlineStr">
        <is>
          <t>Select all cells to data edge</t>
        </is>
      </c>
      <c r="D12" s="18" t="inlineStr">
        <is>
          <t>Select entire tables without dragging mouse</t>
        </is>
      </c>
      <c r="E12" s="18" t="inlineStr">
        <is>
          <t>Select column A with Ctrl+Shift+Down</t>
        </is>
      </c>
    </row>
    <row r="13">
      <c r="A13" s="13" t="inlineStr">
        <is>
          <t>Selection</t>
        </is>
      </c>
      <c r="B13" s="14" t="inlineStr">
        <is>
          <t>Ctrl + Space</t>
        </is>
      </c>
      <c r="C13" s="15" t="inlineStr">
        <is>
          <t>Select active column</t>
        </is>
      </c>
      <c r="D13" s="15" t="inlineStr">
        <is>
          <t>Format or delete column in 1 tap</t>
        </is>
      </c>
      <c r="E13" s="15" t="inlineStr">
        <is>
          <t>Click any cell and press Ctrl+Space</t>
        </is>
      </c>
    </row>
    <row r="14">
      <c r="A14" s="16" t="inlineStr">
        <is>
          <t>Selection</t>
        </is>
      </c>
      <c r="B14" s="17" t="inlineStr">
        <is>
          <t>Shift + Space</t>
        </is>
      </c>
      <c r="C14" s="18" t="inlineStr">
        <is>
          <t>Select active row</t>
        </is>
      </c>
      <c r="D14" s="18" t="inlineStr">
        <is>
          <t>Highlight or delete row in 1 tap</t>
        </is>
      </c>
      <c r="E14" s="18" t="inlineStr">
        <is>
          <t>Click any cell and press Shift+Space</t>
        </is>
      </c>
    </row>
    <row r="15">
      <c r="A15" s="13" t="inlineStr">
        <is>
          <t>Selection</t>
        </is>
      </c>
      <c r="B15" s="14" t="inlineStr">
        <is>
          <t>Ctrl + A</t>
        </is>
      </c>
      <c r="C15" s="15" t="inlineStr">
        <is>
          <t>Select all contiguous data</t>
        </is>
      </c>
      <c r="D15" s="15" t="inlineStr">
        <is>
          <t>Prepares data for tables in 1 tap</t>
        </is>
      </c>
      <c r="E15" s="15" t="inlineStr">
        <is>
          <t>Press Ctrl+A inside data</t>
        </is>
      </c>
    </row>
    <row r="16">
      <c r="A16" s="16" t="inlineStr">
        <is>
          <t>Editing</t>
        </is>
      </c>
      <c r="B16" s="17" t="inlineStr">
        <is>
          <t>F2</t>
        </is>
      </c>
      <c r="C16" s="18" t="inlineStr">
        <is>
          <t>Edit active cell</t>
        </is>
      </c>
      <c r="D16" s="18" t="inlineStr">
        <is>
          <t>Edit contents without accidentally overwriting</t>
        </is>
      </c>
      <c r="E16" s="18" t="inlineStr">
        <is>
          <t>Press F2 on cell to edit</t>
        </is>
      </c>
    </row>
    <row r="17">
      <c r="A17" s="13" t="inlineStr">
        <is>
          <t>Editing</t>
        </is>
      </c>
      <c r="B17" s="14" t="inlineStr">
        <is>
          <t>Ctrl + Z / Ctrl + Y</t>
        </is>
      </c>
      <c r="C17" s="15" t="inlineStr">
        <is>
          <t>Undo / Redo</t>
        </is>
      </c>
      <c r="D17" s="15" t="inlineStr">
        <is>
          <t>Universal safety net for mistakes</t>
        </is>
      </c>
      <c r="E17" s="15" t="inlineStr">
        <is>
          <t>Undo mistakes instantly</t>
        </is>
      </c>
    </row>
    <row r="18">
      <c r="A18" s="16" t="inlineStr">
        <is>
          <t>Editing</t>
        </is>
      </c>
      <c r="B18" s="17" t="inlineStr">
        <is>
          <t>Ctrl + D / Ctrl + R</t>
        </is>
      </c>
      <c r="C18" s="18" t="inlineStr">
        <is>
          <t>Fill Down / Fill Right</t>
        </is>
      </c>
      <c r="D18" s="18" t="inlineStr">
        <is>
          <t>5x faster than copy-paste for rows/cols</t>
        </is>
      </c>
      <c r="E18" s="18" t="inlineStr">
        <is>
          <t>Highlight cell and press Ctrl+D</t>
        </is>
      </c>
    </row>
    <row r="19">
      <c r="A19" s="13" t="inlineStr">
        <is>
          <t>Editing</t>
        </is>
      </c>
      <c r="B19" s="14" t="inlineStr">
        <is>
          <t>Alt + Enter</t>
        </is>
      </c>
      <c r="C19" s="15" t="inlineStr">
        <is>
          <t>Line break inside cell</t>
        </is>
      </c>
      <c r="D19" s="15" t="inlineStr">
        <is>
          <t>Creates neat multi-line headers</t>
        </is>
      </c>
      <c r="E19" s="15" t="inlineStr">
        <is>
          <t>Type line, Alt+Enter, type next</t>
        </is>
      </c>
    </row>
    <row r="20">
      <c r="A20" s="16" t="inlineStr">
        <is>
          <t>Formulas</t>
        </is>
      </c>
      <c r="B20" s="17" t="inlineStr">
        <is>
          <t>=</t>
        </is>
      </c>
      <c r="C20" s="18" t="inlineStr">
        <is>
          <t>Start formula</t>
        </is>
      </c>
      <c r="D20" s="18" t="inlineStr">
        <is>
          <t>Every formula begins with =</t>
        </is>
      </c>
      <c r="E20" s="18" t="inlineStr">
        <is>
          <t>Type =SUM(A1:A5)</t>
        </is>
      </c>
    </row>
    <row r="21">
      <c r="A21" s="13" t="inlineStr">
        <is>
          <t>Formulas</t>
        </is>
      </c>
      <c r="B21" s="14" t="inlineStr">
        <is>
          <t>Alt + =</t>
        </is>
      </c>
      <c r="C21" s="15" t="inlineStr">
        <is>
          <t>AutoSum</t>
        </is>
      </c>
      <c r="D21" s="15" t="inlineStr">
        <is>
          <t>Inserts =SUM() in 0.5 seconds</t>
        </is>
      </c>
      <c r="E21" s="15" t="inlineStr">
        <is>
          <t>Place cursor below numbers, press Alt+=</t>
        </is>
      </c>
    </row>
    <row r="22">
      <c r="A22" s="16" t="inlineStr">
        <is>
          <t>Formulas</t>
        </is>
      </c>
      <c r="B22" s="17" t="inlineStr">
        <is>
          <t>F4</t>
        </is>
      </c>
      <c r="C22" s="18" t="inlineStr">
        <is>
          <t>Toggle $ Absolute Ref</t>
        </is>
      </c>
      <c r="D22" s="18" t="inlineStr">
        <is>
          <t>Locks cell references ($A$1)</t>
        </is>
      </c>
      <c r="E22" s="18" t="inlineStr">
        <is>
          <t>Press F4 while typing formula</t>
        </is>
      </c>
    </row>
    <row r="23">
      <c r="A23" s="13" t="inlineStr">
        <is>
          <t>Formulas</t>
        </is>
      </c>
      <c r="B23" s="14" t="inlineStr">
        <is>
          <t>Ctrl + ` (tilde)</t>
        </is>
      </c>
      <c r="C23" s="15" t="inlineStr">
        <is>
          <t>Show all formulas</t>
        </is>
      </c>
      <c r="D23" s="15" t="inlineStr">
        <is>
          <t>Audits entire sheet formulas instantly</t>
        </is>
      </c>
      <c r="E23" s="15" t="inlineStr">
        <is>
          <t>Press Ctrl+` to audit formulas</t>
        </is>
      </c>
    </row>
    <row r="24">
      <c r="A24" s="16" t="inlineStr">
        <is>
          <t>Formatting</t>
        </is>
      </c>
      <c r="B24" s="17" t="inlineStr">
        <is>
          <t>Ctrl + 1</t>
        </is>
      </c>
      <c r="C24" s="18" t="inlineStr">
        <is>
          <t>Format Cells dialog</t>
        </is>
      </c>
      <c r="D24" s="18" t="inlineStr">
        <is>
          <t>Access custom number/date formats</t>
        </is>
      </c>
      <c r="E24" s="18" t="inlineStr">
        <is>
          <t>Press Ctrl+1 to open dialog</t>
        </is>
      </c>
    </row>
    <row r="25">
      <c r="A25" s="13" t="inlineStr">
        <is>
          <t>Formatting</t>
        </is>
      </c>
      <c r="B25" s="14" t="inlineStr">
        <is>
          <t>Ctrl + Shift + $</t>
        </is>
      </c>
      <c r="C25" s="15" t="inlineStr">
        <is>
          <t>Currency format ($#,##0.00)</t>
        </is>
      </c>
      <c r="D25" s="15" t="inlineStr">
        <is>
          <t>Formats sales numbers with 2 decimals</t>
        </is>
      </c>
      <c r="E25" s="15" t="inlineStr">
        <is>
          <t>Press Ctrl+Shift+$ on numbers</t>
        </is>
      </c>
    </row>
    <row r="26">
      <c r="A26" s="16" t="inlineStr">
        <is>
          <t>Formatting</t>
        </is>
      </c>
      <c r="B26" s="17" t="inlineStr">
        <is>
          <t>Ctrl + Shift + %</t>
        </is>
      </c>
      <c r="C26" s="18" t="inlineStr">
        <is>
          <t>Percentage format (0%)</t>
        </is>
      </c>
      <c r="D26" s="18" t="inlineStr">
        <is>
          <t>Converts 0.15 to 15% instantly</t>
        </is>
      </c>
      <c r="E26" s="18" t="inlineStr">
        <is>
          <t>Press Ctrl+Shift+% on decimals</t>
        </is>
      </c>
    </row>
    <row r="27">
      <c r="A27" s="13" t="inlineStr">
        <is>
          <t>Data Tools</t>
        </is>
      </c>
      <c r="B27" s="14" t="inlineStr">
        <is>
          <t>Ctrl + T</t>
        </is>
      </c>
      <c r="C27" s="15" t="inlineStr">
        <is>
          <t>Create Excel Table</t>
        </is>
      </c>
      <c r="D27" s="15" t="inlineStr">
        <is>
          <t>Enables auto-expanding ranges and banding</t>
        </is>
      </c>
      <c r="E27" s="15" t="inlineStr">
        <is>
          <t>Select data and press Ctrl+T</t>
        </is>
      </c>
    </row>
    <row r="28">
      <c r="A28" s="16" t="inlineStr">
        <is>
          <t>Data Tools</t>
        </is>
      </c>
      <c r="B28" s="17" t="inlineStr">
        <is>
          <t>Ctrl + Shift + L</t>
        </is>
      </c>
      <c r="C28" s="18" t="inlineStr">
        <is>
          <t>Toggle Filters on/off</t>
        </is>
      </c>
      <c r="D28" s="18" t="inlineStr">
        <is>
          <t>Filters data without touching Data tab</t>
        </is>
      </c>
      <c r="E28" s="18" t="inlineStr">
        <is>
          <t>Select headers, press Ctrl+Shift+L</t>
        </is>
      </c>
    </row>
    <row r="29">
      <c r="A29" s="13" t="inlineStr">
        <is>
          <t>Data Tools</t>
        </is>
      </c>
      <c r="B29" s="14" t="inlineStr">
        <is>
          <t>Ctrl + H</t>
        </is>
      </c>
      <c r="C29" s="15" t="inlineStr">
        <is>
          <t>Find &amp; Replace</t>
        </is>
      </c>
      <c r="D29" s="15" t="inlineStr">
        <is>
          <t>Bulk cleans text or replaces codes</t>
        </is>
      </c>
      <c r="E29" s="15" t="inlineStr">
        <is>
          <t>Press Ctrl+H to bulk replace</t>
        </is>
      </c>
    </row>
    <row r="30">
      <c r="A30" s="16" t="inlineStr">
        <is>
          <t>Workbook</t>
        </is>
      </c>
      <c r="B30" s="17" t="inlineStr">
        <is>
          <t>Ctrl + S</t>
        </is>
      </c>
      <c r="C30" s="18" t="inlineStr">
        <is>
          <t>Save Workbook</t>
        </is>
      </c>
      <c r="D30" s="18" t="inlineStr">
        <is>
          <t>Save every 5 minutes to avoid data loss</t>
        </is>
      </c>
      <c r="E30" s="18" t="inlineStr">
        <is>
          <t>Press Ctrl+S frequently</t>
        </is>
      </c>
    </row>
    <row r="31">
      <c r="A31" s="13" t="inlineStr">
        <is>
          <t>Workbook</t>
        </is>
      </c>
      <c r="B31" s="14" t="inlineStr">
        <is>
          <t>Ctrl + Page Down/Up</t>
        </is>
      </c>
      <c r="C31" s="15" t="inlineStr">
        <is>
          <t>Switch Worksheet</t>
        </is>
      </c>
      <c r="D31" s="15" t="inlineStr">
        <is>
          <t>Move between sheets without mouse</t>
        </is>
      </c>
      <c r="E31" s="15" t="inlineStr">
        <is>
          <t>Press Ctrl+PageDown to go to M1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0" customWidth="1" min="3" max="3"/>
    <col width="30" customWidth="1" min="4" max="4"/>
    <col width="50" customWidth="1" min="5" max="5"/>
    <col width="12" customWidth="1" min="6" max="6"/>
    <col width="13" customWidth="1" min="7" max="7"/>
    <col width="12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📘 MODULE 1: EXCEL BASICS &amp; NAVIGATION PRACTICE</t>
        </is>
      </c>
    </row>
    <row r="3">
      <c r="A3" s="2" t="inlineStr">
        <is>
          <t>Module 1 | Slide Reference: Slides 2–13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You started at Acme Global. You must navigate a 5,000-contact registry, freeze header rows, and identify proper Excel Data Types.</t>
        </is>
      </c>
    </row>
    <row r="7"/>
    <row r="8">
      <c r="A8" s="19" t="inlineStr">
        <is>
          <t>EXERCISE 1: IDENTIFY EXCEL DATA TYPES (TEXT, NUMBER, DATE, LOGICAL, FORMULA)</t>
        </is>
      </c>
    </row>
    <row r="9">
      <c r="A9" s="5" t="inlineStr">
        <is>
          <t>Sample Value</t>
        </is>
      </c>
      <c r="B9" s="5" t="inlineStr">
        <is>
          <t>What It Represents</t>
        </is>
      </c>
      <c r="C9" s="5" t="inlineStr">
        <is>
          <t>[YOUR TURN] Enter Data Type</t>
        </is>
      </c>
      <c r="D9" s="5" t="inlineStr">
        <is>
          <t>Excel Alignment Rule</t>
        </is>
      </c>
      <c r="E9" s="5" t="inlineStr">
        <is>
          <t>Automated Validation Check</t>
        </is>
      </c>
    </row>
    <row r="10">
      <c r="A10" s="6" t="inlineStr">
        <is>
          <t>EMP-2041</t>
        </is>
      </c>
      <c r="B10" s="8" t="inlineStr">
        <is>
          <t>Employee ID Code</t>
        </is>
      </c>
      <c r="C10" s="20" t="inlineStr"/>
      <c r="D10" s="8" t="inlineStr">
        <is>
          <t>Left-aligned by default</t>
        </is>
      </c>
      <c r="E10" s="21">
        <f>IF(C10="","🟡 Type identified type",IF(LOWER(TRIM(C10))=LOWER("Text"),"✅ Correct!","❌ Try again: Text"))</f>
        <v/>
      </c>
    </row>
    <row r="11">
      <c r="A11" s="6" t="n">
        <v>65000</v>
      </c>
      <c r="B11" s="8" t="inlineStr">
        <is>
          <t>Annual Base Salary</t>
        </is>
      </c>
      <c r="C11" s="20" t="inlineStr"/>
      <c r="D11" s="8" t="inlineStr">
        <is>
          <t>Right-aligned by default</t>
        </is>
      </c>
      <c r="E11" s="21">
        <f>IF(C11="","🟡 Type identified type",IF(LOWER(TRIM(C11))=LOWER("Number"),"✅ Correct!","❌ Try again: Number"))</f>
        <v/>
      </c>
    </row>
    <row r="12">
      <c r="A12" s="6" t="inlineStr">
        <is>
          <t>2026-05-22</t>
        </is>
      </c>
      <c r="B12" s="8" t="inlineStr">
        <is>
          <t>Date of Employment</t>
        </is>
      </c>
      <c r="C12" s="20" t="inlineStr"/>
      <c r="D12" s="8" t="inlineStr">
        <is>
          <t>Right-aligned serial number</t>
        </is>
      </c>
      <c r="E12" s="21">
        <f>IF(C12="","🟡 Type identified type",IF(LOWER(TRIM(C12))=LOWER("Date"),"✅ Correct!","❌ Try again: Date"))</f>
        <v/>
      </c>
    </row>
    <row r="13">
      <c r="A13" s="6" t="b">
        <v>1</v>
      </c>
      <c r="B13" s="8" t="inlineStr">
        <is>
          <t>Health Insurance Active</t>
        </is>
      </c>
      <c r="C13" s="20" t="inlineStr"/>
      <c r="D13" s="8" t="inlineStr">
        <is>
          <t>Centered by default</t>
        </is>
      </c>
      <c r="E13" s="21">
        <f>IF(C13="","🟡 Type identified type",IF(LOWER(TRIM(C13))=LOWER("Logical"),"✅ Correct!","❌ Try again: Logical"))</f>
        <v/>
      </c>
    </row>
    <row r="14">
      <c r="A14" s="6">
        <f>C10*0.05</f>
        <v/>
      </c>
      <c r="B14" s="8" t="inlineStr">
        <is>
          <t>Calculated Bonus</t>
        </is>
      </c>
      <c r="C14" s="20" t="inlineStr"/>
      <c r="D14" s="8" t="inlineStr">
        <is>
          <t>Displays computed result</t>
        </is>
      </c>
      <c r="E14" s="21">
        <f>IF(C14="","🟡 Type identified type",IF(LOWER(TRIM(C14))=LOWER("Formula"),"✅ Correct!","❌ Try again: Formula"))</f>
        <v/>
      </c>
    </row>
    <row r="15">
      <c r="A15" s="6" t="inlineStr">
        <is>
          <t>Lagos, Nigeria</t>
        </is>
      </c>
      <c r="B15" s="8" t="inlineStr">
        <is>
          <t>Branch Office</t>
        </is>
      </c>
      <c r="C15" s="20" t="inlineStr"/>
      <c r="D15" s="8" t="inlineStr">
        <is>
          <t>Left-aligned by default</t>
        </is>
      </c>
      <c r="E15" s="21">
        <f>IF(C15="","🟡 Type identified type",IF(LOWER(TRIM(C15))=LOWER("Text"),"✅ Correct!","❌ Try again: Text"))</f>
        <v/>
      </c>
    </row>
    <row r="16">
      <c r="A16" s="6" t="n">
        <v>0.125</v>
      </c>
      <c r="B16" s="8" t="inlineStr">
        <is>
          <t>Commission Percentage</t>
        </is>
      </c>
      <c r="C16" s="20" t="inlineStr"/>
      <c r="D16" s="8" t="inlineStr">
        <is>
          <t>Right-aligned decimal</t>
        </is>
      </c>
      <c r="E16" s="21">
        <f>IF(C16="","🟡 Type identified type",IF(LOWER(TRIM(C16))=LOWER("Number"),"✅ Correct!","❌ Try again: Number"))</f>
        <v/>
      </c>
    </row>
    <row r="17"/>
    <row r="18"/>
    <row r="19">
      <c r="A19" s="19" t="inlineStr">
        <is>
          <t>EXERCISE 2: CONTACT DIRECTORY &amp; FREEZE PANES DRILL</t>
        </is>
      </c>
    </row>
    <row r="20">
      <c r="A20" s="22" t="inlineStr">
        <is>
          <t>Task: Go to View tab ➔ Freeze Panes ➔ Freeze Top Row (or freeze at row 21). Scroll down to see headers stay fixed!</t>
        </is>
      </c>
    </row>
    <row r="21">
      <c r="A21" s="5" t="inlineStr">
        <is>
          <t>ID</t>
        </is>
      </c>
      <c r="B21" s="5" t="inlineStr">
        <is>
          <t>First Name</t>
        </is>
      </c>
      <c r="C21" s="5" t="inlineStr">
        <is>
          <t>Last Name</t>
        </is>
      </c>
      <c r="D21" s="5" t="inlineStr">
        <is>
          <t>Department</t>
        </is>
      </c>
      <c r="E21" s="5" t="inlineStr">
        <is>
          <t>Role</t>
        </is>
      </c>
      <c r="F21" s="5" t="inlineStr">
        <is>
          <t>City</t>
        </is>
      </c>
      <c r="G21" s="5" t="inlineStr">
        <is>
          <t>Hire Date</t>
        </is>
      </c>
      <c r="H21" s="5" t="inlineStr">
        <is>
          <t>Status</t>
        </is>
      </c>
    </row>
    <row r="22">
      <c r="A22" s="9" t="inlineStr">
        <is>
          <t>C-101</t>
        </is>
      </c>
      <c r="B22" s="11" t="inlineStr">
        <is>
          <t>Ada</t>
        </is>
      </c>
      <c r="C22" s="11" t="inlineStr">
        <is>
          <t>Okonkwo</t>
        </is>
      </c>
      <c r="D22" s="11" t="inlineStr">
        <is>
          <t>Sales</t>
        </is>
      </c>
      <c r="E22" s="11" t="inlineStr">
        <is>
          <t>Lead Account Exec</t>
        </is>
      </c>
      <c r="F22" s="11" t="inlineStr">
        <is>
          <t>Lagos</t>
        </is>
      </c>
      <c r="G22" s="9" t="inlineStr">
        <is>
          <t>2023-01-15</t>
        </is>
      </c>
      <c r="H22" s="9" t="inlineStr">
        <is>
          <t>Active</t>
        </is>
      </c>
    </row>
    <row r="23">
      <c r="A23" s="6" t="inlineStr">
        <is>
          <t>C-102</t>
        </is>
      </c>
      <c r="B23" s="8" t="inlineStr">
        <is>
          <t>Babajide</t>
        </is>
      </c>
      <c r="C23" s="8" t="inlineStr">
        <is>
          <t>Sanwo</t>
        </is>
      </c>
      <c r="D23" s="8" t="inlineStr">
        <is>
          <t>Operations</t>
        </is>
      </c>
      <c r="E23" s="8" t="inlineStr">
        <is>
          <t>Logistics Mgr</t>
        </is>
      </c>
      <c r="F23" s="8" t="inlineStr">
        <is>
          <t>Abuja</t>
        </is>
      </c>
      <c r="G23" s="6" t="inlineStr">
        <is>
          <t>2022-04-10</t>
        </is>
      </c>
      <c r="H23" s="6" t="inlineStr">
        <is>
          <t>Active</t>
        </is>
      </c>
    </row>
    <row r="24">
      <c r="A24" s="9" t="inlineStr">
        <is>
          <t>C-103</t>
        </is>
      </c>
      <c r="B24" s="11" t="inlineStr">
        <is>
          <t>Chidinma</t>
        </is>
      </c>
      <c r="C24" s="11" t="inlineStr">
        <is>
          <t>Eze</t>
        </is>
      </c>
      <c r="D24" s="11" t="inlineStr">
        <is>
          <t>Finance</t>
        </is>
      </c>
      <c r="E24" s="11" t="inlineStr">
        <is>
          <t>Senior Accountant</t>
        </is>
      </c>
      <c r="F24" s="11" t="inlineStr">
        <is>
          <t>Enugu</t>
        </is>
      </c>
      <c r="G24" s="9" t="inlineStr">
        <is>
          <t>2021-08-20</t>
        </is>
      </c>
      <c r="H24" s="9" t="inlineStr">
        <is>
          <t>Active</t>
        </is>
      </c>
    </row>
    <row r="25">
      <c r="A25" s="6" t="inlineStr">
        <is>
          <t>C-104</t>
        </is>
      </c>
      <c r="B25" s="8" t="inlineStr">
        <is>
          <t>Daniel</t>
        </is>
      </c>
      <c r="C25" s="8" t="inlineStr">
        <is>
          <t>Kalu</t>
        </is>
      </c>
      <c r="D25" s="8" t="inlineStr">
        <is>
          <t>Technology</t>
        </is>
      </c>
      <c r="E25" s="8" t="inlineStr">
        <is>
          <t>Cloud Engineer</t>
        </is>
      </c>
      <c r="F25" s="8" t="inlineStr">
        <is>
          <t>Lagos</t>
        </is>
      </c>
      <c r="G25" s="6" t="inlineStr">
        <is>
          <t>2023-09-01</t>
        </is>
      </c>
      <c r="H25" s="6" t="inlineStr">
        <is>
          <t>Probation</t>
        </is>
      </c>
    </row>
    <row r="26">
      <c r="A26" s="9" t="inlineStr">
        <is>
          <t>C-105</t>
        </is>
      </c>
      <c r="B26" s="11" t="inlineStr">
        <is>
          <t>Fatima</t>
        </is>
      </c>
      <c r="C26" s="11" t="inlineStr">
        <is>
          <t>Aliyu</t>
        </is>
      </c>
      <c r="D26" s="11" t="inlineStr">
        <is>
          <t>HR</t>
        </is>
      </c>
      <c r="E26" s="11" t="inlineStr">
        <is>
          <t>People Partner</t>
        </is>
      </c>
      <c r="F26" s="11" t="inlineStr">
        <is>
          <t>Kano</t>
        </is>
      </c>
      <c r="G26" s="9" t="inlineStr">
        <is>
          <t>2020-11-12</t>
        </is>
      </c>
      <c r="H26" s="9" t="inlineStr">
        <is>
          <t>Active</t>
        </is>
      </c>
    </row>
    <row r="27">
      <c r="A27" s="6" t="inlineStr">
        <is>
          <t>C-106</t>
        </is>
      </c>
      <c r="B27" s="8" t="inlineStr">
        <is>
          <t>Grace</t>
        </is>
      </c>
      <c r="C27" s="8" t="inlineStr">
        <is>
          <t>Mensah</t>
        </is>
      </c>
      <c r="D27" s="8" t="inlineStr">
        <is>
          <t>Marketing</t>
        </is>
      </c>
      <c r="E27" s="8" t="inlineStr">
        <is>
          <t>Brand Specialist</t>
        </is>
      </c>
      <c r="F27" s="8" t="inlineStr">
        <is>
          <t>Accra</t>
        </is>
      </c>
      <c r="G27" s="6" t="inlineStr">
        <is>
          <t>2024-02-01</t>
        </is>
      </c>
      <c r="H27" s="6" t="inlineStr">
        <is>
          <t>Probation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8" customWidth="1" min="3" max="3"/>
    <col width="50" customWidth="1" min="4" max="4"/>
    <col width="17" customWidth="1" min="5" max="5"/>
    <col width="28" customWidth="1" min="6" max="6"/>
    <col width="50" customWidth="1" min="7" max="7"/>
  </cols>
  <sheetData>
    <row r="1">
      <c r="A1" s="12" t="inlineStr">
        <is>
          <t>⬅️ Back to Course Roadmap</t>
        </is>
      </c>
    </row>
    <row r="2">
      <c r="A2" s="1" t="inlineStr">
        <is>
          <t>🧮 MODULE 2: BASIC FORMULAS, FORMATTING &amp; MATH OPERATORS</t>
        </is>
      </c>
    </row>
    <row r="3">
      <c r="A3" s="2" t="inlineStr">
        <is>
          <t>Module 2 | Slide Reference: Slides 14–22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Weekly Electronics Store Audit. Calculate line item revenue, apply currency formatting, and produce executive summary statistics.</t>
        </is>
      </c>
    </row>
    <row r="7"/>
    <row r="8">
      <c r="A8" s="5" t="inlineStr">
        <is>
          <t>Product Code</t>
        </is>
      </c>
      <c r="B8" s="5" t="inlineStr">
        <is>
          <t>Description</t>
        </is>
      </c>
      <c r="C8" s="5" t="inlineStr">
        <is>
          <t>Category</t>
        </is>
      </c>
      <c r="D8" s="5" t="inlineStr">
        <is>
          <t>Units Sold</t>
        </is>
      </c>
      <c r="E8" s="5" t="inlineStr">
        <is>
          <t>Unit Price ($)</t>
        </is>
      </c>
      <c r="F8" s="5" t="inlineStr">
        <is>
          <t>[YOUR TURN] Total Revenue</t>
        </is>
      </c>
      <c r="G8" s="5" t="inlineStr">
        <is>
          <t>Automated Check</t>
        </is>
      </c>
    </row>
    <row r="9">
      <c r="A9" s="6" t="inlineStr">
        <is>
          <t>PRD-01</t>
        </is>
      </c>
      <c r="B9" s="8" t="inlineStr">
        <is>
          <t>ThinkPad Laptop E14</t>
        </is>
      </c>
      <c r="C9" s="8" t="inlineStr">
        <is>
          <t>Computers</t>
        </is>
      </c>
      <c r="D9" s="23" t="n">
        <v>12</v>
      </c>
      <c r="E9" s="24" t="n">
        <v>850</v>
      </c>
      <c r="F9" s="25" t="n"/>
      <c r="G9" s="21">
        <f>IF(F9="","🟡 Enter =D9*E9",IF(ABS(F9-(D9*E9))&lt;0.01,"✅ Correct!","❌ Re-check"))</f>
        <v/>
      </c>
    </row>
    <row r="10">
      <c r="A10" s="6" t="inlineStr">
        <is>
          <t>PRD-02</t>
        </is>
      </c>
      <c r="B10" s="8" t="inlineStr">
        <is>
          <t>Dell 27" 4K Monitor</t>
        </is>
      </c>
      <c r="C10" s="8" t="inlineStr">
        <is>
          <t>Displays</t>
        </is>
      </c>
      <c r="D10" s="23" t="n">
        <v>24</v>
      </c>
      <c r="E10" s="24" t="n">
        <v>320</v>
      </c>
      <c r="F10" s="25" t="n"/>
      <c r="G10" s="21">
        <f>IF(F10="","🟡 Enter =D10*E10",IF(ABS(F10-(D10*E10))&lt;0.01,"✅ Correct!","❌ Re-check"))</f>
        <v/>
      </c>
    </row>
    <row r="11">
      <c r="A11" s="6" t="inlineStr">
        <is>
          <t>PRD-03</t>
        </is>
      </c>
      <c r="B11" s="8" t="inlineStr">
        <is>
          <t>Logitech MX Master 3S</t>
        </is>
      </c>
      <c r="C11" s="8" t="inlineStr">
        <is>
          <t>Accessories</t>
        </is>
      </c>
      <c r="D11" s="23" t="n">
        <v>45</v>
      </c>
      <c r="E11" s="24" t="n">
        <v>99</v>
      </c>
      <c r="F11" s="25" t="n"/>
      <c r="G11" s="21">
        <f>IF(F11="","🟡 Enter =D11*E11",IF(ABS(F11-(D11*E11))&lt;0.01,"✅ Correct!","❌ Re-check"))</f>
        <v/>
      </c>
    </row>
    <row r="12">
      <c r="A12" s="6" t="inlineStr">
        <is>
          <t>PRD-04</t>
        </is>
      </c>
      <c r="B12" s="8" t="inlineStr">
        <is>
          <t>Apple MacBook Air M2</t>
        </is>
      </c>
      <c r="C12" s="8" t="inlineStr">
        <is>
          <t>Computers</t>
        </is>
      </c>
      <c r="D12" s="23" t="n">
        <v>8</v>
      </c>
      <c r="E12" s="24" t="n">
        <v>1150</v>
      </c>
      <c r="F12" s="25" t="n"/>
      <c r="G12" s="21">
        <f>IF(F12="","🟡 Enter =D12*E12",IF(ABS(F12-(D12*E12))&lt;0.01,"✅ Correct!","❌ Re-check"))</f>
        <v/>
      </c>
    </row>
    <row r="13">
      <c r="A13" s="6" t="inlineStr">
        <is>
          <t>PRD-05</t>
        </is>
      </c>
      <c r="B13" s="8" t="inlineStr">
        <is>
          <t>Sony WH-1000XM5 Headset</t>
        </is>
      </c>
      <c r="C13" s="8" t="inlineStr">
        <is>
          <t>Audio</t>
        </is>
      </c>
      <c r="D13" s="23" t="n">
        <v>15</v>
      </c>
      <c r="E13" s="24" t="n">
        <v>380</v>
      </c>
      <c r="F13" s="25" t="n"/>
      <c r="G13" s="21">
        <f>IF(F13="","🟡 Enter =D13*E13",IF(ABS(F13-(D13*E13))&lt;0.01,"✅ Correct!","❌ Re-check"))</f>
        <v/>
      </c>
    </row>
    <row r="14">
      <c r="A14" s="6" t="inlineStr">
        <is>
          <t>PRD-06</t>
        </is>
      </c>
      <c r="B14" s="8" t="inlineStr">
        <is>
          <t>Samsung 1TB SSD</t>
        </is>
      </c>
      <c r="C14" s="8" t="inlineStr">
        <is>
          <t>Storage</t>
        </is>
      </c>
      <c r="D14" s="23" t="n">
        <v>30</v>
      </c>
      <c r="E14" s="24" t="n">
        <v>110</v>
      </c>
      <c r="F14" s="25" t="n"/>
      <c r="G14" s="21">
        <f>IF(F14="","🟡 Enter =D14*E14",IF(ABS(F14-(D14*E14))&lt;0.01,"✅ Correct!","❌ Re-check"))</f>
        <v/>
      </c>
    </row>
    <row r="15">
      <c r="A15" s="6" t="inlineStr">
        <is>
          <t>PRD-07</t>
        </is>
      </c>
      <c r="B15" s="8" t="inlineStr">
        <is>
          <t>Keychron K2 Keyboard</t>
        </is>
      </c>
      <c r="C15" s="8" t="inlineStr">
        <is>
          <t>Accessories</t>
        </is>
      </c>
      <c r="D15" s="23" t="n">
        <v>22</v>
      </c>
      <c r="E15" s="24" t="n">
        <v>85</v>
      </c>
      <c r="F15" s="25" t="n"/>
      <c r="G15" s="21">
        <f>IF(F15="","🟡 Enter =D15*E15",IF(ABS(F15-(D15*E15))&lt;0.01,"✅ Correct!","❌ Re-check"))</f>
        <v/>
      </c>
    </row>
    <row r="16">
      <c r="A16" s="6" t="inlineStr">
        <is>
          <t>PRD-08</t>
        </is>
      </c>
      <c r="B16" s="8" t="inlineStr">
        <is>
          <t>HP LaserJet Pro</t>
        </is>
      </c>
      <c r="C16" s="8" t="inlineStr">
        <is>
          <t>Printers</t>
        </is>
      </c>
      <c r="D16" s="23" t="n">
        <v>6</v>
      </c>
      <c r="E16" s="24" t="n">
        <v>290</v>
      </c>
      <c r="F16" s="25" t="n"/>
      <c r="G16" s="21">
        <f>IF(F16="","🟡 Enter =D16*E16",IF(ABS(F16-(D16*E16))&lt;0.01,"✅ Correct!","❌ Re-check"))</f>
        <v/>
      </c>
    </row>
    <row r="17"/>
    <row r="18"/>
    <row r="19">
      <c r="A19" s="19" t="inlineStr">
        <is>
          <t>📊 EXECUTIVE SUMMARY CALCULATIONS (SUM, AVERAGE, MIN, MAX, COUNT, COUNTA)</t>
        </is>
      </c>
    </row>
    <row r="20">
      <c r="A20" s="5" t="inlineStr">
        <is>
          <t>Metric Name</t>
        </is>
      </c>
      <c r="B20" s="5" t="inlineStr">
        <is>
          <t>Formula Description &amp; Syntax Hint</t>
        </is>
      </c>
      <c r="C20" s="5" t="inlineStr">
        <is>
          <t>[YOUR TURN] Write Formula</t>
        </is>
      </c>
      <c r="D20" s="5" t="inlineStr">
        <is>
          <t>Validation Check</t>
        </is>
      </c>
    </row>
    <row r="21">
      <c r="A21" s="8" t="inlineStr">
        <is>
          <t>Total Gross Revenue (SUM)</t>
        </is>
      </c>
      <c r="B21" s="8" t="inlineStr">
        <is>
          <t>Total money earned across all products (Syntax: =SUM(F9:F16))</t>
        </is>
      </c>
      <c r="C21" s="26" t="n"/>
      <c r="D21" s="21">
        <f>IF(C21="","🟡 Write formula",IF(ISNUMBER(C21),"✅ Valid Calculation!","❌ Check Syntax"))</f>
        <v/>
      </c>
    </row>
    <row r="22">
      <c r="A22" s="8" t="inlineStr">
        <is>
          <t>Average Revenue Per Product (AVERAGE)</t>
        </is>
      </c>
      <c r="B22" s="8" t="inlineStr">
        <is>
          <t>Arithmetic mean of revenue (Syntax: =AVERAGE(F9:F16))</t>
        </is>
      </c>
      <c r="C22" s="26" t="n"/>
      <c r="D22" s="21">
        <f>IF(C22="","🟡 Write formula",IF(ISNUMBER(C22),"✅ Valid Calculation!","❌ Check Syntax"))</f>
        <v/>
      </c>
    </row>
    <row r="23">
      <c r="A23" s="8" t="inlineStr">
        <is>
          <t>Total Units Sold (SUM)</t>
        </is>
      </c>
      <c r="B23" s="8" t="inlineStr">
        <is>
          <t>Sum of all physical units moved (Syntax: =SUM(D9:D16))</t>
        </is>
      </c>
      <c r="C23" s="26" t="n"/>
      <c r="D23" s="21">
        <f>IF(C23="","🟡 Write formula",IF(ISNUMBER(C23),"✅ Valid Calculation!","❌ Check Syntax"))</f>
        <v/>
      </c>
    </row>
    <row r="24">
      <c r="A24" s="8" t="inlineStr">
        <is>
          <t>Highest Single Revenue (MAX)</t>
        </is>
      </c>
      <c r="B24" s="8" t="inlineStr">
        <is>
          <t>Highest earning line item (Syntax: =MAX(F9:F16))</t>
        </is>
      </c>
      <c r="C24" s="26" t="n"/>
      <c r="D24" s="21">
        <f>IF(C24="","🟡 Write formula",IF(ISNUMBER(C24),"✅ Valid Calculation!","❌ Check Syntax"))</f>
        <v/>
      </c>
    </row>
    <row r="25">
      <c r="A25" s="8" t="inlineStr">
        <is>
          <t>Lowest Single Revenue (MIN)</t>
        </is>
      </c>
      <c r="B25" s="8" t="inlineStr">
        <is>
          <t>Lowest earning line item (Syntax: =MIN(F9:F16))</t>
        </is>
      </c>
      <c r="C25" s="26" t="n"/>
      <c r="D25" s="21">
        <f>IF(C25="","🟡 Write formula",IF(ISNUMBER(C25),"✅ Valid Calculation!","❌ Check Syntax"))</f>
        <v/>
      </c>
    </row>
    <row r="26">
      <c r="A26" s="8" t="inlineStr">
        <is>
          <t>Count of Product Lines (COUNTA)</t>
        </is>
      </c>
      <c r="B26" s="8" t="inlineStr">
        <is>
          <t>Counts non-empty text names in column B (Syntax: =COUNTA(B9:B16))</t>
        </is>
      </c>
      <c r="C26" s="26" t="n"/>
      <c r="D26" s="21">
        <f>IF(C26="","🟡 Write formula",IF(ISNUMBER(C26),"✅ Valid Calculation!","❌ Check Syntax"))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9" customWidth="1" min="3" max="3"/>
    <col width="50" customWidth="1" min="4" max="4"/>
    <col width="13" customWidth="1" min="5" max="5"/>
    <col width="12" customWidth="1" min="6" max="6"/>
    <col width="12" customWidth="1" min="7" max="7"/>
    <col width="50" customWidth="1" min="8" max="8"/>
    <col width="31" customWidth="1" min="9" max="9"/>
    <col width="27" customWidth="1" min="10" max="10"/>
    <col width="31" customWidth="1" min="11" max="11"/>
    <col width="28" customWidth="1" min="12" max="12"/>
    <col width="25" customWidth="1" min="13" max="13"/>
  </cols>
  <sheetData>
    <row r="1">
      <c r="A1" s="12" t="inlineStr">
        <is>
          <t>⬅️ Back to Course Roadmap</t>
        </is>
      </c>
    </row>
    <row r="2">
      <c r="A2" s="1" t="inlineStr">
        <is>
          <t>🧠 MODULE 3: DECISION LOGIC (IF, AND, OR, IFS, IFERROR)</t>
        </is>
      </c>
    </row>
    <row r="3">
      <c r="A3" s="2" t="inlineStr">
        <is>
          <t>Module 3 | Slide Reference: Slides 23–26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HR &amp; Sales Performance Evaluation. Evaluate employee sales vs target, calculate bonus commissions, and set warnings.</t>
        </is>
      </c>
    </row>
    <row r="7"/>
    <row r="8">
      <c r="A8" s="5" t="inlineStr">
        <is>
          <t>Emp ID</t>
        </is>
      </c>
      <c r="B8" s="5" t="inlineStr">
        <is>
          <t>Staff Name</t>
        </is>
      </c>
      <c r="C8" s="5" t="inlineStr">
        <is>
          <t>Department</t>
        </is>
      </c>
      <c r="D8" s="5" t="inlineStr">
        <is>
          <t>Actual ($)</t>
        </is>
      </c>
      <c r="E8" s="5" t="inlineStr">
        <is>
          <t>Target ($)</t>
        </is>
      </c>
      <c r="F8" s="5" t="inlineStr">
        <is>
          <t>Years</t>
        </is>
      </c>
      <c r="G8" s="5" t="inlineStr">
        <is>
          <t>Att %</t>
        </is>
      </c>
      <c r="H8" s="5" t="inlineStr">
        <is>
          <t>Rating</t>
        </is>
      </c>
      <c r="I8" s="5" t="inlineStr">
        <is>
          <t>[YOUR TURN] Met Target? (IF)</t>
        </is>
      </c>
      <c r="J8" s="5" t="inlineStr">
        <is>
          <t>[YOUR TURN] Bonus $ (IF)</t>
        </is>
      </c>
      <c r="K8" s="5" t="inlineStr">
        <is>
          <t>[YOUR TURN] Promotion? (AND)</t>
        </is>
      </c>
      <c r="L8" s="5" t="inlineStr">
        <is>
          <t>[YOUR TURN] Warning? (OR)</t>
        </is>
      </c>
      <c r="M8" s="5" t="inlineStr">
        <is>
          <t>[YOUR TURN] Tier (IFS)</t>
        </is>
      </c>
    </row>
    <row r="9">
      <c r="A9" s="6" t="inlineStr">
        <is>
          <t>EMP-01</t>
        </is>
      </c>
      <c r="B9" s="8" t="inlineStr">
        <is>
          <t>Amina Bello</t>
        </is>
      </c>
      <c r="C9" s="8" t="inlineStr">
        <is>
          <t>Enterprise Sales</t>
        </is>
      </c>
      <c r="D9" s="27" t="n">
        <v>145000</v>
      </c>
      <c r="E9" s="27" t="n">
        <v>100000</v>
      </c>
      <c r="F9" s="6" t="n">
        <v>4</v>
      </c>
      <c r="G9" s="28" t="n">
        <v>0.96</v>
      </c>
      <c r="H9" s="6" t="n">
        <v>4.8</v>
      </c>
      <c r="I9" s="20" t="n"/>
      <c r="J9" s="29" t="n"/>
      <c r="K9" s="20" t="n"/>
      <c r="L9" s="20" t="n"/>
      <c r="M9" s="20" t="n"/>
    </row>
    <row r="10">
      <c r="A10" s="6" t="inlineStr">
        <is>
          <t>EMP-02</t>
        </is>
      </c>
      <c r="B10" s="8" t="inlineStr">
        <is>
          <t>Emeka Okeke</t>
        </is>
      </c>
      <c r="C10" s="8" t="inlineStr">
        <is>
          <t>Retail Sales</t>
        </is>
      </c>
      <c r="D10" s="27" t="n">
        <v>88000</v>
      </c>
      <c r="E10" s="27" t="n">
        <v>100000</v>
      </c>
      <c r="F10" s="6" t="n">
        <v>2</v>
      </c>
      <c r="G10" s="28" t="n">
        <v>0.82</v>
      </c>
      <c r="H10" s="6" t="n">
        <v>3.2</v>
      </c>
      <c r="I10" s="20" t="n"/>
      <c r="J10" s="29" t="n"/>
      <c r="K10" s="20" t="n"/>
      <c r="L10" s="20" t="n"/>
      <c r="M10" s="20" t="n"/>
    </row>
    <row r="11">
      <c r="A11" s="6" t="inlineStr">
        <is>
          <t>EMP-03</t>
        </is>
      </c>
      <c r="B11" s="8" t="inlineStr">
        <is>
          <t>Tunde Bakare</t>
        </is>
      </c>
      <c r="C11" s="8" t="inlineStr">
        <is>
          <t>Enterprise Sales</t>
        </is>
      </c>
      <c r="D11" s="27" t="n">
        <v>120000</v>
      </c>
      <c r="E11" s="27" t="n">
        <v>100000</v>
      </c>
      <c r="F11" s="6" t="n">
        <v>5</v>
      </c>
      <c r="G11" s="28" t="n">
        <v>0.91</v>
      </c>
      <c r="H11" s="6" t="n">
        <v>4.2</v>
      </c>
      <c r="I11" s="20" t="n"/>
      <c r="J11" s="29" t="n"/>
      <c r="K11" s="20" t="n"/>
      <c r="L11" s="20" t="n"/>
      <c r="M11" s="20" t="n"/>
    </row>
    <row r="12">
      <c r="A12" s="6" t="inlineStr">
        <is>
          <t>EMP-04</t>
        </is>
      </c>
      <c r="B12" s="8" t="inlineStr">
        <is>
          <t>Zainab Haruna</t>
        </is>
      </c>
      <c r="C12" s="8" t="inlineStr">
        <is>
          <t>Customer Success</t>
        </is>
      </c>
      <c r="D12" s="27" t="n">
        <v>95000</v>
      </c>
      <c r="E12" s="27" t="n">
        <v>90000</v>
      </c>
      <c r="F12" s="6" t="n">
        <v>3</v>
      </c>
      <c r="G12" s="28" t="n">
        <v>0.98</v>
      </c>
      <c r="H12" s="6" t="n">
        <v>4.6</v>
      </c>
      <c r="I12" s="20" t="n"/>
      <c r="J12" s="29" t="n"/>
      <c r="K12" s="20" t="n"/>
      <c r="L12" s="20" t="n"/>
      <c r="M12" s="20" t="n"/>
    </row>
    <row r="13">
      <c r="A13" s="6" t="inlineStr">
        <is>
          <t>EMP-05</t>
        </is>
      </c>
      <c r="B13" s="8" t="inlineStr">
        <is>
          <t>Ngozi Chukwu</t>
        </is>
      </c>
      <c r="C13" s="8" t="inlineStr">
        <is>
          <t>Retail Sales</t>
        </is>
      </c>
      <c r="D13" s="27" t="n">
        <v>65000</v>
      </c>
      <c r="E13" s="27" t="n">
        <v>100000</v>
      </c>
      <c r="F13" s="6" t="n">
        <v>1</v>
      </c>
      <c r="G13" s="28" t="n">
        <v>0.79</v>
      </c>
      <c r="H13" s="6" t="n">
        <v>2.4</v>
      </c>
      <c r="I13" s="20" t="n"/>
      <c r="J13" s="29" t="n"/>
      <c r="K13" s="20" t="n"/>
      <c r="L13" s="20" t="n"/>
      <c r="M13" s="20" t="n"/>
    </row>
    <row r="14"/>
    <row r="15"/>
    <row r="16">
      <c r="A16" s="19" t="inlineStr">
        <is>
          <t>📖 FORMULA LOGIC RULES TO CODE IN YELLOW COLUMNS:</t>
        </is>
      </c>
    </row>
    <row r="17">
      <c r="A17" s="3" t="inlineStr">
        <is>
          <t>Col I: Met Target? (IF)</t>
        </is>
      </c>
      <c r="D17" s="30">
        <f>IF(D9&gt;=E9, "Yes", "No")</f>
        <v/>
      </c>
      <c r="H17" s="4" t="inlineStr">
        <is>
          <t>If Actual &gt;= Target return Yes, else No</t>
        </is>
      </c>
    </row>
    <row r="18">
      <c r="A18" s="3" t="inlineStr">
        <is>
          <t>Col J: Bonus $ (IF)</t>
        </is>
      </c>
      <c r="D18" s="30">
        <f>IF(D9&gt;=E9, D9*0.05, 0)</f>
        <v/>
      </c>
      <c r="H18" s="4" t="inlineStr">
        <is>
          <t>If target met, award 5% of Actual Sales, else $0</t>
        </is>
      </c>
    </row>
    <row r="19">
      <c r="A19" s="3" t="inlineStr">
        <is>
          <t>Col K: Promotion? (AND)</t>
        </is>
      </c>
      <c r="D19" s="30">
        <f>IF(AND(D9&gt;=E9, F9&gt;=3), "Eligible", "Wait")</f>
        <v/>
      </c>
      <c r="H19" s="4" t="inlineStr">
        <is>
          <t>Requires BOTH: Target met AND at least 3 years service</t>
        </is>
      </c>
    </row>
    <row r="20">
      <c r="A20" s="3" t="inlineStr">
        <is>
          <t>Col L: Warning? (OR)</t>
        </is>
      </c>
      <c r="D20" s="30">
        <f>IF(OR(G9&lt;0.85, H9&lt;3.0), "Warning", "OK")</f>
        <v/>
      </c>
      <c r="H20" s="4" t="inlineStr">
        <is>
          <t>Alert if EITHER Attendance &lt; 85% OR Rating &lt; 3.0</t>
        </is>
      </c>
    </row>
    <row r="21">
      <c r="A21" s="3" t="inlineStr">
        <is>
          <t>Col M: Tier (IFS)</t>
        </is>
      </c>
      <c r="D21" s="30">
        <f>IFS(H9&gt;=4.5,"Top Talent", H9&gt;=3.5,"Good", H9&gt;=2.5,"Average", TRUE,"Needs Help")</f>
        <v/>
      </c>
      <c r="H21" s="4" t="inlineStr">
        <is>
          <t>Categorizes employee rating in tiers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39" customWidth="1" min="3" max="3"/>
    <col width="34" customWidth="1" min="4" max="4"/>
    <col width="36" customWidth="1" min="5" max="5"/>
    <col width="37" customWidth="1" min="6" max="6"/>
    <col width="38" customWidth="1" min="7" max="7"/>
    <col width="50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🔤 MODULE 3: TEXT FUNCTIONS &amp; DATA CLEANING</t>
        </is>
      </c>
    </row>
    <row r="3">
      <c r="A3" s="2" t="inlineStr">
        <is>
          <t>Module 3 | Slide Reference: Slides 27–31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Clean dirty CRM export names, extract country dial codes, and build standardized corporate email addresses.</t>
        </is>
      </c>
    </row>
    <row r="7"/>
    <row r="8">
      <c r="A8" s="5" t="inlineStr">
        <is>
          <t>Raw Dirty Name</t>
        </is>
      </c>
      <c r="B8" s="5" t="inlineStr">
        <is>
          <t>Mobile Phone</t>
        </is>
      </c>
      <c r="C8" s="5" t="inlineStr">
        <is>
          <t>[YOUR TURN] Clean Name (TRIM+PROPER)</t>
        </is>
      </c>
      <c r="D8" s="5" t="inlineStr">
        <is>
          <t>[YOUR TURN] Country Code (LEFT)</t>
        </is>
      </c>
      <c r="E8" s="5" t="inlineStr">
        <is>
          <t>[YOUR TURN] Last 4 Digits (RIGHT)</t>
        </is>
      </c>
      <c r="F8" s="5" t="inlineStr">
        <is>
          <t>[YOUR TURN] Character Length (LEN)</t>
        </is>
      </c>
      <c r="G8" s="5" t="inlineStr">
        <is>
          <t>[YOUR TURN] Email (TEXTJOIN/CONCAT)</t>
        </is>
      </c>
      <c r="H8" s="5" t="inlineStr">
        <is>
          <t>Validation Check</t>
        </is>
      </c>
    </row>
    <row r="9">
      <c r="A9" s="8" t="inlineStr">
        <is>
          <t xml:space="preserve">   john  DOE  </t>
        </is>
      </c>
      <c r="B9" s="6" t="inlineStr">
        <is>
          <t>+234-802-555-0192</t>
        </is>
      </c>
      <c r="C9" s="31" t="n"/>
      <c r="D9" s="20" t="n"/>
      <c r="E9" s="20" t="n"/>
      <c r="F9" s="20" t="n"/>
      <c r="G9" s="31" t="n"/>
      <c r="H9" s="21">
        <f>IF(C9="","🟡 Enter =PROPER(TRIM(A9))",IF(C9=PROPER(TRIM(A9)),"✅ Cleaned Perfectly!","❌ Check TRIM &amp; PROPER"))</f>
        <v/>
      </c>
    </row>
    <row r="10">
      <c r="A10" s="8" t="inlineStr">
        <is>
          <t xml:space="preserve">mary   ann  SMITH </t>
        </is>
      </c>
      <c r="B10" s="6" t="inlineStr">
        <is>
          <t>+234-803-555-8841</t>
        </is>
      </c>
      <c r="C10" s="31" t="n"/>
      <c r="D10" s="20" t="n"/>
      <c r="E10" s="20" t="n"/>
      <c r="F10" s="20" t="n"/>
      <c r="G10" s="31" t="n"/>
      <c r="H10" s="21">
        <f>IF(C10="","🟡 Enter =PROPER(TRIM(A10))",IF(C10=PROPER(TRIM(A10)),"✅ Cleaned Perfectly!","❌ Check TRIM &amp; PROPER"))</f>
        <v/>
      </c>
    </row>
    <row r="11">
      <c r="A11" s="8" t="inlineStr">
        <is>
          <t xml:space="preserve">chidi  Okafor </t>
        </is>
      </c>
      <c r="B11" s="6" t="inlineStr">
        <is>
          <t>+234-805-555-3210</t>
        </is>
      </c>
      <c r="C11" s="31" t="n"/>
      <c r="D11" s="20" t="n"/>
      <c r="E11" s="20" t="n"/>
      <c r="F11" s="20" t="n"/>
      <c r="G11" s="31" t="n"/>
      <c r="H11" s="21">
        <f>IF(C11="","🟡 Enter =PROPER(TRIM(A11))",IF(C11=PROPER(TRIM(A11)),"✅ Cleaned Perfectly!","❌ Check TRIM &amp; PROPER"))</f>
        <v/>
      </c>
    </row>
    <row r="12">
      <c r="A12" s="8" t="inlineStr">
        <is>
          <t xml:space="preserve">  ALEXANDER   HAMILTON</t>
        </is>
      </c>
      <c r="B12" s="6" t="inlineStr">
        <is>
          <t>+234-701-555-9923</t>
        </is>
      </c>
      <c r="C12" s="31" t="n"/>
      <c r="D12" s="20" t="n"/>
      <c r="E12" s="20" t="n"/>
      <c r="F12" s="20" t="n"/>
      <c r="G12" s="31" t="n"/>
      <c r="H12" s="21">
        <f>IF(C12="","🟡 Enter =PROPER(TRIM(A12))",IF(C12=PROPER(TRIM(A12)),"✅ Cleaned Perfectly!","❌ Check TRIM &amp; PROPER"))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6" customWidth="1" min="3" max="3"/>
    <col width="50" customWidth="1" min="4" max="4"/>
    <col width="31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🧹 MODULE 4: DEDUPLICATION, DATA VALIDATION &amp; EXCEL TABLES</t>
        </is>
      </c>
    </row>
    <row r="3">
      <c r="A3" s="2" t="inlineStr">
        <is>
          <t>Module 4 | Slide Reference: Slides 32–40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Standardize raw candidate intake records. Remove identical duplicate rows, enforce dropdown lists, and convert to Table (Ctrl+T).</t>
        </is>
      </c>
    </row>
    <row r="7"/>
    <row r="8">
      <c r="A8" s="19" t="inlineStr">
        <is>
          <t>EXERCISE 1: SPOT &amp; DELETE DUPLICATE RECORDS (Data tab ➔ Remove Duplicates)</t>
        </is>
      </c>
    </row>
    <row r="9">
      <c r="A9" s="5" t="inlineStr">
        <is>
          <t>Staff ID</t>
        </is>
      </c>
      <c r="B9" s="5" t="inlineStr">
        <is>
          <t>Full Name</t>
        </is>
      </c>
      <c r="C9" s="5" t="inlineStr">
        <is>
          <t>Department</t>
        </is>
      </c>
      <c r="D9" s="5" t="inlineStr">
        <is>
          <t>Location</t>
        </is>
      </c>
      <c r="E9" s="5" t="inlineStr">
        <is>
          <t>Duplicate Status</t>
        </is>
      </c>
    </row>
    <row r="10">
      <c r="A10" s="9" t="inlineStr">
        <is>
          <t>EMP-101</t>
        </is>
      </c>
      <c r="B10" s="11" t="inlineStr">
        <is>
          <t>Sunday Martins</t>
        </is>
      </c>
      <c r="C10" s="11" t="inlineStr">
        <is>
          <t>Operations</t>
        </is>
      </c>
      <c r="D10" s="11" t="inlineStr">
        <is>
          <t>Lagos</t>
        </is>
      </c>
      <c r="E10" s="11" t="inlineStr">
        <is>
          <t>Unique Record</t>
        </is>
      </c>
    </row>
    <row r="11">
      <c r="A11" s="6" t="inlineStr">
        <is>
          <t>EMP-102</t>
        </is>
      </c>
      <c r="B11" s="8" t="inlineStr">
        <is>
          <t>Blessing Udoh</t>
        </is>
      </c>
      <c r="C11" s="8" t="inlineStr">
        <is>
          <t>Human Resources</t>
        </is>
      </c>
      <c r="D11" s="8" t="inlineStr">
        <is>
          <t>Abuja</t>
        </is>
      </c>
      <c r="E11" s="8" t="inlineStr">
        <is>
          <t>⚠️ Duplicate Record 1</t>
        </is>
      </c>
    </row>
    <row r="12">
      <c r="A12" s="9" t="inlineStr">
        <is>
          <t>EMP-103</t>
        </is>
      </c>
      <c r="B12" s="11" t="inlineStr">
        <is>
          <t>Victor Adeleke</t>
        </is>
      </c>
      <c r="C12" s="11" t="inlineStr">
        <is>
          <t>Finance</t>
        </is>
      </c>
      <c r="D12" s="11" t="inlineStr">
        <is>
          <t>Lagos</t>
        </is>
      </c>
      <c r="E12" s="11" t="inlineStr">
        <is>
          <t>Unique Record</t>
        </is>
      </c>
    </row>
    <row r="13">
      <c r="A13" s="6" t="inlineStr">
        <is>
          <t>EMP-102</t>
        </is>
      </c>
      <c r="B13" s="8" t="inlineStr">
        <is>
          <t>Blessing Udoh</t>
        </is>
      </c>
      <c r="C13" s="8" t="inlineStr">
        <is>
          <t>Human Resources</t>
        </is>
      </c>
      <c r="D13" s="8" t="inlineStr">
        <is>
          <t>Abuja</t>
        </is>
      </c>
      <c r="E13" s="32" t="inlineStr">
        <is>
          <t>⚠️ DUPLICATE ROW (Delete Me)</t>
        </is>
      </c>
    </row>
    <row r="14">
      <c r="A14" s="9" t="inlineStr">
        <is>
          <t>EMP-104</t>
        </is>
      </c>
      <c r="B14" s="11" t="inlineStr">
        <is>
          <t>Farouk Bello</t>
        </is>
      </c>
      <c r="C14" s="11" t="inlineStr">
        <is>
          <t>Engineering</t>
        </is>
      </c>
      <c r="D14" s="11" t="inlineStr">
        <is>
          <t>Kaduna</t>
        </is>
      </c>
      <c r="E14" s="11" t="inlineStr">
        <is>
          <t>Unique Record</t>
        </is>
      </c>
    </row>
    <row r="15">
      <c r="A15" s="6" t="inlineStr">
        <is>
          <t>EMP-103</t>
        </is>
      </c>
      <c r="B15" s="8" t="inlineStr">
        <is>
          <t>Victor Adeleke</t>
        </is>
      </c>
      <c r="C15" s="8" t="inlineStr">
        <is>
          <t>Finance</t>
        </is>
      </c>
      <c r="D15" s="8" t="inlineStr">
        <is>
          <t>Lagos</t>
        </is>
      </c>
      <c r="E15" s="32" t="inlineStr">
        <is>
          <t>⚠️ DUPLICATE ROW (Delete Me)</t>
        </is>
      </c>
    </row>
    <row r="16"/>
    <row r="17"/>
    <row r="18">
      <c r="A18" s="19" t="inlineStr">
        <is>
          <t>EXERCISE 2: DATA VALIDATION DROPDOWN &amp; WHOLE NUMBER RESTRICTION</t>
        </is>
      </c>
    </row>
    <row r="19">
      <c r="A19" s="5" t="inlineStr">
        <is>
          <t>Candidate Name</t>
        </is>
      </c>
      <c r="B19" s="5" t="inlineStr">
        <is>
          <t>Department [ADD DROPDOWN LIST]</t>
        </is>
      </c>
      <c r="C19" s="5" t="inlineStr">
        <is>
          <t>Base Salary [RESTRICT $30k-$250k]</t>
        </is>
      </c>
      <c r="D19" s="5" t="inlineStr">
        <is>
          <t>How to Setup in Excel</t>
        </is>
      </c>
    </row>
    <row r="20">
      <c r="A20" s="11" t="inlineStr">
        <is>
          <t>Amara Nwosu</t>
        </is>
      </c>
      <c r="B20" s="31" t="inlineStr">
        <is>
          <t>Select via Dropdown...</t>
        </is>
      </c>
      <c r="C20" s="31" t="n">
        <v>65000</v>
      </c>
      <c r="D20" s="11" t="inlineStr">
        <is>
          <t>Data tab ➔ Data Validation ➔ List: Sales,Marketing,Finance,HR,IT</t>
        </is>
      </c>
    </row>
    <row r="21">
      <c r="A21" s="8" t="inlineStr">
        <is>
          <t>Kenneth Braide</t>
        </is>
      </c>
      <c r="B21" s="31" t="inlineStr">
        <is>
          <t>Select via Dropdown...</t>
        </is>
      </c>
      <c r="C21" s="31" t="n">
        <v>110000</v>
      </c>
      <c r="D21" s="8" t="inlineStr">
        <is>
          <t>Data tab ➔ Data Validation ➔ Whole number: Min 30000, Max 250000</t>
        </is>
      </c>
    </row>
    <row r="22">
      <c r="A22" s="11" t="inlineStr">
        <is>
          <t>Hauwa Yusuf</t>
        </is>
      </c>
      <c r="B22" s="31" t="inlineStr">
        <is>
          <t>Select via Dropdown...</t>
        </is>
      </c>
      <c r="C22" s="31" t="n">
        <v>45000</v>
      </c>
      <c r="D22" s="11" t="inlineStr">
        <is>
          <t>Add custom Error Alert: 'Salary out of company range!'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4" customWidth="1" min="3" max="3"/>
    <col width="37" customWidth="1" min="4" max="4"/>
    <col width="34" customWidth="1" min="5" max="5"/>
    <col width="34" customWidth="1" min="6" max="6"/>
    <col width="17" customWidth="1" min="7" max="7"/>
    <col width="50" customWidth="1" min="8" max="8"/>
  </cols>
  <sheetData>
    <row r="1">
      <c r="A1" s="12" t="inlineStr">
        <is>
          <t>⬅️ Back to Course Roadmap</t>
        </is>
      </c>
    </row>
    <row r="2">
      <c r="A2" s="1" t="inlineStr">
        <is>
          <t>🔍 MODULE 5: LOOKUP FUNCTIONS (VLOOKUP, XLOOKUP, INDEX+MATCH)</t>
        </is>
      </c>
    </row>
    <row r="3">
      <c r="A3" s="2" t="inlineStr">
        <is>
          <t>Module 5 | Slide Reference: Slides 41–44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Customer Order Lookup. Retrieve Product Description, Unit Cost, and Stock Quantity from Master Catalog into Order Slips.</t>
        </is>
      </c>
    </row>
    <row r="7"/>
    <row r="8">
      <c r="A8" s="19" t="inlineStr">
        <is>
          <t>📦 MASTER PRODUCT CATALOG ($A$10:$E$15)</t>
        </is>
      </c>
    </row>
    <row r="9">
      <c r="A9" s="5" t="inlineStr">
        <is>
          <t>Item Code</t>
        </is>
      </c>
      <c r="B9" s="5" t="inlineStr">
        <is>
          <t>Product Description</t>
        </is>
      </c>
      <c r="C9" s="5" t="inlineStr">
        <is>
          <t>Category</t>
        </is>
      </c>
      <c r="D9" s="5" t="inlineStr">
        <is>
          <t>Unit Cost ($)</t>
        </is>
      </c>
      <c r="E9" s="5" t="inlineStr">
        <is>
          <t>In Stock Qty</t>
        </is>
      </c>
    </row>
    <row r="10">
      <c r="A10" s="6" t="inlineStr">
        <is>
          <t>PRD-101</t>
        </is>
      </c>
      <c r="B10" s="8" t="inlineStr">
        <is>
          <t>MacBook Pro 14"</t>
        </is>
      </c>
      <c r="C10" s="8" t="inlineStr">
        <is>
          <t>Hardware</t>
        </is>
      </c>
      <c r="D10" s="24" t="n">
        <v>1999</v>
      </c>
      <c r="E10" s="23" t="n">
        <v>15</v>
      </c>
    </row>
    <row r="11">
      <c r="A11" s="6" t="inlineStr">
        <is>
          <t>PRD-102</t>
        </is>
      </c>
      <c r="B11" s="8" t="inlineStr">
        <is>
          <t>Dell 4K Monitor</t>
        </is>
      </c>
      <c r="C11" s="8" t="inlineStr">
        <is>
          <t>Displays</t>
        </is>
      </c>
      <c r="D11" s="24" t="n">
        <v>450</v>
      </c>
      <c r="E11" s="23" t="n">
        <v>32</v>
      </c>
    </row>
    <row r="12">
      <c r="A12" s="6" t="inlineStr">
        <is>
          <t>PRD-103</t>
        </is>
      </c>
      <c r="B12" s="8" t="inlineStr">
        <is>
          <t>Ergonomic Office Chair</t>
        </is>
      </c>
      <c r="C12" s="8" t="inlineStr">
        <is>
          <t>Furniture</t>
        </is>
      </c>
      <c r="D12" s="24" t="n">
        <v>280</v>
      </c>
      <c r="E12" s="23" t="n">
        <v>8</v>
      </c>
    </row>
    <row r="13">
      <c r="A13" s="6" t="inlineStr">
        <is>
          <t>PRD-104</t>
        </is>
      </c>
      <c r="B13" s="8" t="inlineStr">
        <is>
          <t>Standing Desk Pro</t>
        </is>
      </c>
      <c r="C13" s="8" t="inlineStr">
        <is>
          <t>Furniture</t>
        </is>
      </c>
      <c r="D13" s="24" t="n">
        <v>520</v>
      </c>
      <c r="E13" s="23" t="n">
        <v>12</v>
      </c>
    </row>
    <row r="14">
      <c r="A14" s="6" t="inlineStr">
        <is>
          <t>PRD-105</t>
        </is>
      </c>
      <c r="B14" s="8" t="inlineStr">
        <is>
          <t>Noise Cancelling Headset</t>
        </is>
      </c>
      <c r="C14" s="8" t="inlineStr">
        <is>
          <t>Audio</t>
        </is>
      </c>
      <c r="D14" s="24" t="n">
        <v>175</v>
      </c>
      <c r="E14" s="23" t="n">
        <v>45</v>
      </c>
    </row>
    <row r="15">
      <c r="A15" s="6" t="inlineStr">
        <is>
          <t>PRD-106</t>
        </is>
      </c>
      <c r="B15" s="8" t="inlineStr">
        <is>
          <t>Wireless Mechanical Keyboard</t>
        </is>
      </c>
      <c r="C15" s="8" t="inlineStr">
        <is>
          <t>Accessories</t>
        </is>
      </c>
      <c r="D15" s="24" t="n">
        <v>95</v>
      </c>
      <c r="E15" s="23" t="n">
        <v>60</v>
      </c>
    </row>
    <row r="16"/>
    <row r="17"/>
    <row r="18">
      <c r="A18" s="19" t="inlineStr">
        <is>
          <t>🛒 CUSTOMER ORDERS (WRITE LOOKUP FORMULAS IN YELLOW COLUMNS)</t>
        </is>
      </c>
    </row>
    <row r="19">
      <c r="A19" s="5" t="inlineStr">
        <is>
          <t>Order #</t>
        </is>
      </c>
      <c r="B19" s="5" t="inlineStr">
        <is>
          <t>Look Up Code</t>
        </is>
      </c>
      <c r="C19" s="5" t="inlineStr">
        <is>
          <t>Units</t>
        </is>
      </c>
      <c r="D19" s="5" t="inlineStr">
        <is>
          <t>[YOUR TURN] Product Name (VLOOKUP)</t>
        </is>
      </c>
      <c r="E19" s="5" t="inlineStr">
        <is>
          <t>[YOUR TURN] Unit Cost (XLOOKUP)</t>
        </is>
      </c>
      <c r="F19" s="5" t="inlineStr">
        <is>
          <t>[YOUR TURN] Stock (INDEX+MATCH)</t>
        </is>
      </c>
      <c r="G19" s="5" t="inlineStr">
        <is>
          <t>Total Cost ($)</t>
        </is>
      </c>
      <c r="H19" s="5" t="inlineStr">
        <is>
          <t>Validation Check</t>
        </is>
      </c>
    </row>
    <row r="20">
      <c r="A20" s="6" t="inlineStr">
        <is>
          <t>ORD-501</t>
        </is>
      </c>
      <c r="B20" s="6" t="inlineStr">
        <is>
          <t>PRD-102</t>
        </is>
      </c>
      <c r="C20" s="33" t="n">
        <v>3</v>
      </c>
      <c r="D20" s="31" t="n"/>
      <c r="E20" s="25" t="n"/>
      <c r="F20" s="26" t="n"/>
      <c r="G20" s="24">
        <f>C20*E20</f>
        <v/>
      </c>
      <c r="H20" s="21">
        <f>IF(D20="","🟡 Enter VLOOKUP formula",IF(D20=VLOOKUP(B20,$A$10:$E$15,2,FALSE),"✅ Lookup Match!","❌ Check Table Array"))</f>
        <v/>
      </c>
    </row>
    <row r="21">
      <c r="A21" s="6" t="inlineStr">
        <is>
          <t>ORD-502</t>
        </is>
      </c>
      <c r="B21" s="6" t="inlineStr">
        <is>
          <t>PRD-105</t>
        </is>
      </c>
      <c r="C21" s="33" t="n">
        <v>10</v>
      </c>
      <c r="D21" s="31" t="n"/>
      <c r="E21" s="25" t="n"/>
      <c r="F21" s="26" t="n"/>
      <c r="G21" s="24">
        <f>C21*E21</f>
        <v/>
      </c>
      <c r="H21" s="21">
        <f>IF(D21="","🟡 Enter VLOOKUP formula",IF(D21=VLOOKUP(B21,$A$10:$E$15,2,FALSE),"✅ Lookup Match!","❌ Check Table Array"))</f>
        <v/>
      </c>
    </row>
    <row r="22">
      <c r="A22" s="6" t="inlineStr">
        <is>
          <t>ORD-503</t>
        </is>
      </c>
      <c r="B22" s="6" t="inlineStr">
        <is>
          <t>PRD-101</t>
        </is>
      </c>
      <c r="C22" s="33" t="n">
        <v>2</v>
      </c>
      <c r="D22" s="31" t="n"/>
      <c r="E22" s="25" t="n"/>
      <c r="F22" s="26" t="n"/>
      <c r="G22" s="24">
        <f>C22*E22</f>
        <v/>
      </c>
      <c r="H22" s="21">
        <f>IF(D22="","🟡 Enter VLOOKUP formula",IF(D22=VLOOKUP(B22,$A$10:$E$15,2,FALSE),"✅ Lookup Match!","❌ Check Table Array"))</f>
        <v/>
      </c>
    </row>
    <row r="23">
      <c r="A23" s="6" t="inlineStr">
        <is>
          <t>ORD-504</t>
        </is>
      </c>
      <c r="B23" s="6" t="inlineStr">
        <is>
          <t>PRD-999</t>
        </is>
      </c>
      <c r="C23" s="33" t="n">
        <v>1</v>
      </c>
      <c r="D23" s="31" t="n"/>
      <c r="E23" s="25" t="n"/>
      <c r="F23" s="26" t="n"/>
      <c r="G23" s="24">
        <f>C23*E23</f>
        <v/>
      </c>
      <c r="H23" s="21">
        <f>IF(D23="","🟡 Test IFERROR for missing code",IF(ISERROR(D23),"⚠️ Shows #N/A (Wrap in IFERROR)","✅ Handled!"))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41" customWidth="1" min="5" max="5"/>
    <col width="26" customWidth="1" min="6" max="6"/>
    <col width="37" customWidth="1" min="7" max="7"/>
  </cols>
  <sheetData>
    <row r="1">
      <c r="A1" s="12" t="inlineStr">
        <is>
          <t>⬅️ Back to Course Roadmap</t>
        </is>
      </c>
    </row>
    <row r="2">
      <c r="A2" s="1" t="inlineStr">
        <is>
          <t>📅 MODULE 5: DATE FUNCTIONS &amp; CONDITIONAL FORMATTING</t>
        </is>
      </c>
    </row>
    <row r="3">
      <c r="A3" s="2" t="inlineStr">
        <is>
          <t>Module 5 | Slide Reference: Slides 45–46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Project Management Deadline Tracker. Monitor project days remaining, calculate tenure, and highlight risk.</t>
        </is>
      </c>
    </row>
    <row r="7"/>
    <row r="8">
      <c r="A8" s="5" t="inlineStr">
        <is>
          <t>Project Task</t>
        </is>
      </c>
      <c r="B8" s="5" t="inlineStr">
        <is>
          <t>Lead</t>
        </is>
      </c>
      <c r="C8" s="5" t="inlineStr">
        <is>
          <t>Start Date</t>
        </is>
      </c>
      <c r="D8" s="5" t="inlineStr">
        <is>
          <t>Due Date</t>
        </is>
      </c>
      <c r="E8" s="5" t="inlineStr">
        <is>
          <t>[YOUR TURN] Days Left (=Due - TODAY())</t>
        </is>
      </c>
      <c r="F8" s="5" t="inlineStr">
        <is>
          <t>[YOUR TURN] Status (IF)</t>
        </is>
      </c>
      <c r="G8" s="5" t="inlineStr">
        <is>
          <t>[YOUR TURN] Workdays (NETWORKDAYS)</t>
        </is>
      </c>
    </row>
    <row r="9">
      <c r="A9" s="8" t="inlineStr">
        <is>
          <t>Cloud Infrastructure Migration</t>
        </is>
      </c>
      <c r="B9" s="8" t="inlineStr">
        <is>
          <t>Daniel Kalu</t>
        </is>
      </c>
      <c r="C9" s="6" t="inlineStr">
        <is>
          <t>2026-01-10</t>
        </is>
      </c>
      <c r="D9" s="6" t="inlineStr">
        <is>
          <t>2026-06-30</t>
        </is>
      </c>
      <c r="E9" s="20" t="n"/>
      <c r="F9" s="20" t="n"/>
      <c r="G9" s="20" t="n"/>
    </row>
    <row r="10">
      <c r="A10" s="8" t="inlineStr">
        <is>
          <t>Financial Audit Prep</t>
        </is>
      </c>
      <c r="B10" s="8" t="inlineStr">
        <is>
          <t>Chidinma Eze</t>
        </is>
      </c>
      <c r="C10" s="6" t="inlineStr">
        <is>
          <t>2026-03-01</t>
        </is>
      </c>
      <c r="D10" s="6" t="inlineStr">
        <is>
          <t>2026-05-15</t>
        </is>
      </c>
      <c r="E10" s="20" t="n"/>
      <c r="F10" s="20" t="n"/>
      <c r="G10" s="20" t="n"/>
    </row>
    <row r="11">
      <c r="A11" s="8" t="inlineStr">
        <is>
          <t>New CRM Rollout</t>
        </is>
      </c>
      <c r="B11" s="8" t="inlineStr">
        <is>
          <t>Ada Okonkwo</t>
        </is>
      </c>
      <c r="C11" s="6" t="inlineStr">
        <is>
          <t>2026-04-15</t>
        </is>
      </c>
      <c r="D11" s="6" t="inlineStr">
        <is>
          <t>2026-08-30</t>
        </is>
      </c>
      <c r="E11" s="20" t="n"/>
      <c r="F11" s="20" t="n"/>
      <c r="G11" s="20" t="n"/>
    </row>
    <row r="12">
      <c r="A12" s="8" t="inlineStr">
        <is>
          <t>Security Compliance Review</t>
        </is>
      </c>
      <c r="B12" s="8" t="inlineStr">
        <is>
          <t>Victor Adeleke</t>
        </is>
      </c>
      <c r="C12" s="6" t="inlineStr">
        <is>
          <t>2025-11-01</t>
        </is>
      </c>
      <c r="D12" s="6" t="inlineStr">
        <is>
          <t>2026-04-01</t>
        </is>
      </c>
      <c r="E12" s="20" t="n"/>
      <c r="F12" s="20" t="n"/>
      <c r="G12" s="20" t="n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8" customWidth="1" min="3" max="3"/>
    <col width="50" customWidth="1" min="4" max="4"/>
    <col width="14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📊 MODULE 5: MULTI-CRITERIA FUNCTIONS (COUNTIF, COUNTIFS, SUMIFS)</t>
        </is>
      </c>
    </row>
    <row r="3">
      <c r="A3" s="2" t="inlineStr">
        <is>
          <t>Module 5 | Slide Reference: Slide 47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Aggregate sales data across multiple simultaneous criteria (e.g., Sales &gt; $1000 AND Region = 'East').</t>
        </is>
      </c>
    </row>
    <row r="7"/>
    <row r="8">
      <c r="A8" s="5" t="inlineStr">
        <is>
          <t>Order ID</t>
        </is>
      </c>
      <c r="B8" s="5" t="inlineStr">
        <is>
          <t>Region</t>
        </is>
      </c>
      <c r="C8" s="5" t="inlineStr">
        <is>
          <t>Category</t>
        </is>
      </c>
      <c r="D8" s="5" t="inlineStr">
        <is>
          <t>Sales Rep</t>
        </is>
      </c>
      <c r="E8" s="5" t="inlineStr">
        <is>
          <t>Revenue ($)</t>
        </is>
      </c>
    </row>
    <row r="9">
      <c r="A9" s="6" t="inlineStr">
        <is>
          <t>ORD-01</t>
        </is>
      </c>
      <c r="B9" s="6" t="inlineStr">
        <is>
          <t>North</t>
        </is>
      </c>
      <c r="C9" s="8" t="inlineStr">
        <is>
          <t>Laptops</t>
        </is>
      </c>
      <c r="D9" s="8" t="inlineStr">
        <is>
          <t>Ada</t>
        </is>
      </c>
      <c r="E9" s="34" t="n">
        <v>1850</v>
      </c>
    </row>
    <row r="10">
      <c r="A10" s="6" t="inlineStr">
        <is>
          <t>ORD-02</t>
        </is>
      </c>
      <c r="B10" s="6" t="inlineStr">
        <is>
          <t>South</t>
        </is>
      </c>
      <c r="C10" s="8" t="inlineStr">
        <is>
          <t>Displays</t>
        </is>
      </c>
      <c r="D10" s="8" t="inlineStr">
        <is>
          <t>Emeka</t>
        </is>
      </c>
      <c r="E10" s="34" t="n">
        <v>640</v>
      </c>
    </row>
    <row r="11">
      <c r="A11" s="6" t="inlineStr">
        <is>
          <t>ORD-03</t>
        </is>
      </c>
      <c r="B11" s="6" t="inlineStr">
        <is>
          <t>North</t>
        </is>
      </c>
      <c r="C11" s="8" t="inlineStr">
        <is>
          <t>Displays</t>
        </is>
      </c>
      <c r="D11" s="8" t="inlineStr">
        <is>
          <t>Ada</t>
        </is>
      </c>
      <c r="E11" s="34" t="n">
        <v>960</v>
      </c>
    </row>
    <row r="12">
      <c r="A12" s="6" t="inlineStr">
        <is>
          <t>ORD-04</t>
        </is>
      </c>
      <c r="B12" s="6" t="inlineStr">
        <is>
          <t>East</t>
        </is>
      </c>
      <c r="C12" s="8" t="inlineStr">
        <is>
          <t>Laptops</t>
        </is>
      </c>
      <c r="D12" s="8" t="inlineStr">
        <is>
          <t>Tunde</t>
        </is>
      </c>
      <c r="E12" s="34" t="n">
        <v>2400</v>
      </c>
    </row>
    <row r="13">
      <c r="A13" s="6" t="inlineStr">
        <is>
          <t>ORD-05</t>
        </is>
      </c>
      <c r="B13" s="6" t="inlineStr">
        <is>
          <t>North</t>
        </is>
      </c>
      <c r="C13" s="8" t="inlineStr">
        <is>
          <t>Laptops</t>
        </is>
      </c>
      <c r="D13" s="8" t="inlineStr">
        <is>
          <t>Zainab</t>
        </is>
      </c>
      <c r="E13" s="34" t="n">
        <v>1250</v>
      </c>
    </row>
    <row r="14">
      <c r="A14" s="6" t="inlineStr">
        <is>
          <t>ORD-06</t>
        </is>
      </c>
      <c r="B14" s="6" t="inlineStr">
        <is>
          <t>East</t>
        </is>
      </c>
      <c r="C14" s="8" t="inlineStr">
        <is>
          <t>Displays</t>
        </is>
      </c>
      <c r="D14" s="8" t="inlineStr">
        <is>
          <t>Tunde</t>
        </is>
      </c>
      <c r="E14" s="34" t="n">
        <v>800</v>
      </c>
    </row>
    <row r="15">
      <c r="A15" s="6" t="inlineStr">
        <is>
          <t>ORD-07</t>
        </is>
      </c>
      <c r="B15" s="6" t="inlineStr">
        <is>
          <t>North</t>
        </is>
      </c>
      <c r="C15" s="8" t="inlineStr">
        <is>
          <t>Laptops</t>
        </is>
      </c>
      <c r="D15" s="8" t="inlineStr">
        <is>
          <t>Ada</t>
        </is>
      </c>
      <c r="E15" s="34" t="n">
        <v>1100</v>
      </c>
    </row>
    <row r="16">
      <c r="A16" s="6" t="inlineStr">
        <is>
          <t>ORD-08</t>
        </is>
      </c>
      <c r="B16" s="6" t="inlineStr">
        <is>
          <t>South</t>
        </is>
      </c>
      <c r="C16" s="8" t="inlineStr">
        <is>
          <t>Laptops</t>
        </is>
      </c>
      <c r="D16" s="8" t="inlineStr">
        <is>
          <t>Emeka</t>
        </is>
      </c>
      <c r="E16" s="34" t="n">
        <v>1500</v>
      </c>
    </row>
    <row r="17"/>
    <row r="18"/>
    <row r="19">
      <c r="A19" s="19" t="inlineStr">
        <is>
          <t>🎯 MULTI-CRITERIA FORMULA CHALLENGES:</t>
        </is>
      </c>
    </row>
    <row r="20">
      <c r="A20" s="5" t="inlineStr">
        <is>
          <t>Challenge Task</t>
        </is>
      </c>
      <c r="B20" s="5" t="inlineStr">
        <is>
          <t>Formula Syntax Hint</t>
        </is>
      </c>
      <c r="C20" s="5" t="inlineStr">
        <is>
          <t>[YOUR TURN] Write Formula</t>
        </is>
      </c>
      <c r="D20" s="5" t="inlineStr">
        <is>
          <t>Validation Check</t>
        </is>
      </c>
    </row>
    <row r="21">
      <c r="A21" s="8" t="inlineStr">
        <is>
          <t>Count of Orders from North Region</t>
        </is>
      </c>
      <c r="B21" s="8">
        <f>COUNTIF(B9:B16, "North")</f>
        <v/>
      </c>
      <c r="C21" s="26" t="n"/>
      <c r="D21" s="21">
        <f>IF(C21="","🟡 Write formula",IF(ISNUMBER(C21),"✅ Valid Aggregation!","❌ Check Syntax"))</f>
        <v/>
      </c>
    </row>
    <row r="22">
      <c r="A22" s="8" t="inlineStr">
        <is>
          <t>Count of Laptop Orders from North Region</t>
        </is>
      </c>
      <c r="B22" s="8">
        <f>COUNTIFS(B9:B16, "North", C9:C16, "Laptops")</f>
        <v/>
      </c>
      <c r="C22" s="26" t="n"/>
      <c r="D22" s="21">
        <f>IF(C22="","🟡 Write formula",IF(ISNUMBER(C22),"✅ Valid Aggregation!","❌ Check Syntax"))</f>
        <v/>
      </c>
    </row>
    <row r="23">
      <c r="A23" s="8" t="inlineStr">
        <is>
          <t>Total Revenue for North Region</t>
        </is>
      </c>
      <c r="B23" s="8">
        <f>SUMIF(B9:B16, "North", E9:E16)</f>
        <v/>
      </c>
      <c r="C23" s="26" t="n"/>
      <c r="D23" s="21">
        <f>IF(C23="","🟡 Write formula",IF(ISNUMBER(C23),"✅ Valid Aggregation!","❌ Check Syntax"))</f>
        <v/>
      </c>
    </row>
    <row r="24">
      <c r="A24" s="8" t="inlineStr">
        <is>
          <t>Total Revenue for North Laptop Orders</t>
        </is>
      </c>
      <c r="B24" s="8">
        <f>SUMIFS(E9:E16, B9:B16, "North", C9:C16, "Laptops")</f>
        <v/>
      </c>
      <c r="C24" s="26" t="n"/>
      <c r="D24" s="21">
        <f>IF(C24="","🟡 Write formula",IF(ISNUMBER(C24),"✅ Valid Aggregation!","❌ Check Syntax"))</f>
        <v/>
      </c>
    </row>
    <row r="25">
      <c r="A25" s="8" t="inlineStr">
        <is>
          <t>Average Revenue of Ada's Sales</t>
        </is>
      </c>
      <c r="B25" s="8">
        <f>AVERAGEIF(D9:D16, "Ada", E9:E16)</f>
        <v/>
      </c>
      <c r="C25" s="26" t="n"/>
      <c r="D25" s="21">
        <f>IF(C25="","🟡 Write formula",IF(ISNUMBER(C25),"✅ Valid Aggregation!","❌ Check Syntax"))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39" customWidth="1" min="6" max="6"/>
  </cols>
  <sheetData>
    <row r="1">
      <c r="A1" s="12" t="inlineStr">
        <is>
          <t>⬅️ Back to Course Roadmap</t>
        </is>
      </c>
    </row>
    <row r="2">
      <c r="A2" s="1" t="inlineStr">
        <is>
          <t>📈 MODULE 6: CHARTS, VISUALIZATIONS &amp; SPARKLINES</t>
        </is>
      </c>
    </row>
    <row r="3">
      <c r="A3" s="2" t="inlineStr">
        <is>
          <t>Module 6 | Slide Reference: Slides 49–51, 58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Visualize multi-quarter sales performance using Clustered Column Charts, Line Charts, and in-cell Sparklines.</t>
        </is>
      </c>
    </row>
    <row r="7"/>
    <row r="8">
      <c r="A8" s="5" t="inlineStr">
        <is>
          <t>Department</t>
        </is>
      </c>
      <c r="B8" s="5" t="inlineStr">
        <is>
          <t>Q1 Sales ($)</t>
        </is>
      </c>
      <c r="C8" s="5" t="inlineStr">
        <is>
          <t>Q2 Sales ($)</t>
        </is>
      </c>
      <c r="D8" s="5" t="inlineStr">
        <is>
          <t>Q3 Sales ($)</t>
        </is>
      </c>
      <c r="E8" s="5" t="inlineStr">
        <is>
          <t>Q4 Sales ($)</t>
        </is>
      </c>
      <c r="F8" s="5" t="inlineStr">
        <is>
          <t>Sparkline Trend (Insert ➔ Sparkline)</t>
        </is>
      </c>
    </row>
    <row r="9">
      <c r="A9" s="8" t="inlineStr">
        <is>
          <t>Enterprise Software</t>
        </is>
      </c>
      <c r="B9" s="34" t="n">
        <v>45000</v>
      </c>
      <c r="C9" s="34" t="n">
        <v>52000</v>
      </c>
      <c r="D9" s="34" t="n">
        <v>58000</v>
      </c>
      <c r="E9" s="34" t="n">
        <v>64000</v>
      </c>
      <c r="F9" s="6" t="inlineStr">
        <is>
          <t>[Select B-E ➔ Insert Sparkline]</t>
        </is>
      </c>
    </row>
    <row r="10">
      <c r="A10" s="8" t="inlineStr">
        <is>
          <t>Hardware Solutions</t>
        </is>
      </c>
      <c r="B10" s="34" t="n">
        <v>78000</v>
      </c>
      <c r="C10" s="34" t="n">
        <v>71000</v>
      </c>
      <c r="D10" s="34" t="n">
        <v>69000</v>
      </c>
      <c r="E10" s="34" t="n">
        <v>82000</v>
      </c>
      <c r="F10" s="6" t="inlineStr">
        <is>
          <t>[Select B-E ➔ Insert Sparkline]</t>
        </is>
      </c>
    </row>
    <row r="11">
      <c r="A11" s="8" t="inlineStr">
        <is>
          <t>Cloud Services</t>
        </is>
      </c>
      <c r="B11" s="34" t="n">
        <v>32000</v>
      </c>
      <c r="C11" s="34" t="n">
        <v>41000</v>
      </c>
      <c r="D11" s="34" t="n">
        <v>49000</v>
      </c>
      <c r="E11" s="34" t="n">
        <v>61000</v>
      </c>
      <c r="F11" s="6" t="inlineStr">
        <is>
          <t>[Select B-E ➔ Insert Sparkline]</t>
        </is>
      </c>
    </row>
    <row r="12">
      <c r="A12" s="8" t="inlineStr">
        <is>
          <t>Professional Consulting</t>
        </is>
      </c>
      <c r="B12" s="34" t="n">
        <v>55000</v>
      </c>
      <c r="C12" s="34" t="n">
        <v>53000</v>
      </c>
      <c r="D12" s="34" t="n">
        <v>59000</v>
      </c>
      <c r="E12" s="34" t="n">
        <v>68000</v>
      </c>
      <c r="F12" s="6" t="inlineStr">
        <is>
          <t>[Select B-E ➔ Insert Sparkline]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6" customWidth="1" min="4" max="4"/>
    <col width="14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2" t="inlineStr">
        <is>
          <t>⬅️ Back to Course Roadmap</t>
        </is>
      </c>
    </row>
    <row r="2">
      <c r="A2" s="1" t="inlineStr">
        <is>
          <t>📊 MODULE 6: PIVOT TABLES, PIVOT CHARTS &amp; SLICERS</t>
        </is>
      </c>
    </row>
    <row r="3">
      <c r="A3" s="2" t="inlineStr">
        <is>
          <t>Module 6 | Slide Reference: Slides 52–55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100+ Transaction records. Build PivotTables to answer executive questions in 10 seconds without writing formulas.</t>
        </is>
      </c>
    </row>
    <row r="7"/>
    <row r="8">
      <c r="A8" s="5" t="inlineStr">
        <is>
          <t>Trx ID</t>
        </is>
      </c>
      <c r="B8" s="5" t="inlineStr">
        <is>
          <t>Date</t>
        </is>
      </c>
      <c r="C8" s="5" t="inlineStr">
        <is>
          <t>Region</t>
        </is>
      </c>
      <c r="D8" s="5" t="inlineStr">
        <is>
          <t>Sales Rep</t>
        </is>
      </c>
      <c r="E8" s="5" t="inlineStr">
        <is>
          <t>Category</t>
        </is>
      </c>
      <c r="F8" s="5" t="inlineStr">
        <is>
          <t>Product</t>
        </is>
      </c>
      <c r="G8" s="5" t="inlineStr">
        <is>
          <t>Units</t>
        </is>
      </c>
      <c r="H8" s="5" t="inlineStr">
        <is>
          <t>Unit Price ($)</t>
        </is>
      </c>
      <c r="I8" s="5" t="inlineStr">
        <is>
          <t>Total Revenue ($)</t>
        </is>
      </c>
    </row>
    <row r="9">
      <c r="A9" s="6" t="inlineStr">
        <is>
          <t>TRX-001</t>
        </is>
      </c>
      <c r="B9" s="6" t="inlineStr">
        <is>
          <t>2026-05-02</t>
        </is>
      </c>
      <c r="C9" s="6" t="inlineStr">
        <is>
          <t>South</t>
        </is>
      </c>
      <c r="D9" s="8" t="inlineStr">
        <is>
          <t>Emeka Okeke</t>
        </is>
      </c>
      <c r="E9" s="8" t="inlineStr">
        <is>
          <t>Displays</t>
        </is>
      </c>
      <c r="F9" s="8" t="inlineStr">
        <is>
          <t>Dell 4K</t>
        </is>
      </c>
      <c r="G9" s="33" t="n">
        <v>8</v>
      </c>
      <c r="H9" s="24" t="n">
        <v>125</v>
      </c>
      <c r="I9" s="24">
        <f>G9*H9</f>
        <v/>
      </c>
    </row>
    <row r="10">
      <c r="A10" s="9" t="inlineStr">
        <is>
          <t>TRX-002</t>
        </is>
      </c>
      <c r="B10" s="9" t="inlineStr">
        <is>
          <t>2026-05-03</t>
        </is>
      </c>
      <c r="C10" s="9" t="inlineStr">
        <is>
          <t>East</t>
        </is>
      </c>
      <c r="D10" s="11" t="inlineStr">
        <is>
          <t>Tunde Bakare</t>
        </is>
      </c>
      <c r="E10" s="11" t="inlineStr">
        <is>
          <t>Accessories</t>
        </is>
      </c>
      <c r="F10" s="11" t="inlineStr">
        <is>
          <t>MX Master Mouse</t>
        </is>
      </c>
      <c r="G10" s="35" t="n">
        <v>11</v>
      </c>
      <c r="H10" s="36" t="n">
        <v>150</v>
      </c>
      <c r="I10" s="36">
        <f>G10*H10</f>
        <v/>
      </c>
    </row>
    <row r="11">
      <c r="A11" s="6" t="inlineStr">
        <is>
          <t>TRX-003</t>
        </is>
      </c>
      <c r="B11" s="6" t="inlineStr">
        <is>
          <t>2026-05-04</t>
        </is>
      </c>
      <c r="C11" s="6" t="inlineStr">
        <is>
          <t>West</t>
        </is>
      </c>
      <c r="D11" s="8" t="inlineStr">
        <is>
          <t>Zainab Haruna</t>
        </is>
      </c>
      <c r="E11" s="8" t="inlineStr">
        <is>
          <t>Storage</t>
        </is>
      </c>
      <c r="F11" s="8" t="inlineStr">
        <is>
          <t>Samsung SSD</t>
        </is>
      </c>
      <c r="G11" s="33" t="n">
        <v>14</v>
      </c>
      <c r="H11" s="24" t="n">
        <v>175</v>
      </c>
      <c r="I11" s="24">
        <f>G11*H11</f>
        <v/>
      </c>
    </row>
    <row r="12">
      <c r="A12" s="9" t="inlineStr">
        <is>
          <t>TRX-004</t>
        </is>
      </c>
      <c r="B12" s="9" t="inlineStr">
        <is>
          <t>2026-05-05</t>
        </is>
      </c>
      <c r="C12" s="9" t="inlineStr">
        <is>
          <t>North</t>
        </is>
      </c>
      <c r="D12" s="11" t="inlineStr">
        <is>
          <t>Ada Okonkwo</t>
        </is>
      </c>
      <c r="E12" s="11" t="inlineStr">
        <is>
          <t>Computers</t>
        </is>
      </c>
      <c r="F12" s="11" t="inlineStr">
        <is>
          <t>ThinkPad E14</t>
        </is>
      </c>
      <c r="G12" s="35" t="n">
        <v>17</v>
      </c>
      <c r="H12" s="36" t="n">
        <v>200</v>
      </c>
      <c r="I12" s="36">
        <f>G12*H12</f>
        <v/>
      </c>
    </row>
    <row r="13">
      <c r="A13" s="6" t="inlineStr">
        <is>
          <t>TRX-005</t>
        </is>
      </c>
      <c r="B13" s="6" t="inlineStr">
        <is>
          <t>2026-05-06</t>
        </is>
      </c>
      <c r="C13" s="6" t="inlineStr">
        <is>
          <t>South</t>
        </is>
      </c>
      <c r="D13" s="8" t="inlineStr">
        <is>
          <t>Emeka Okeke</t>
        </is>
      </c>
      <c r="E13" s="8" t="inlineStr">
        <is>
          <t>Displays</t>
        </is>
      </c>
      <c r="F13" s="8" t="inlineStr">
        <is>
          <t>Dell 4K</t>
        </is>
      </c>
      <c r="G13" s="33" t="n">
        <v>20</v>
      </c>
      <c r="H13" s="24" t="n">
        <v>225</v>
      </c>
      <c r="I13" s="24">
        <f>G13*H13</f>
        <v/>
      </c>
    </row>
    <row r="14">
      <c r="A14" s="9" t="inlineStr">
        <is>
          <t>TRX-006</t>
        </is>
      </c>
      <c r="B14" s="9" t="inlineStr">
        <is>
          <t>2026-05-07</t>
        </is>
      </c>
      <c r="C14" s="9" t="inlineStr">
        <is>
          <t>East</t>
        </is>
      </c>
      <c r="D14" s="11" t="inlineStr">
        <is>
          <t>Tunde Bakare</t>
        </is>
      </c>
      <c r="E14" s="11" t="inlineStr">
        <is>
          <t>Accessories</t>
        </is>
      </c>
      <c r="F14" s="11" t="inlineStr">
        <is>
          <t>MX Master Mouse</t>
        </is>
      </c>
      <c r="G14" s="35" t="n">
        <v>23</v>
      </c>
      <c r="H14" s="36" t="n">
        <v>250</v>
      </c>
      <c r="I14" s="36">
        <f>G14*H14</f>
        <v/>
      </c>
    </row>
    <row r="15">
      <c r="A15" s="6" t="inlineStr">
        <is>
          <t>TRX-007</t>
        </is>
      </c>
      <c r="B15" s="6" t="inlineStr">
        <is>
          <t>2026-05-08</t>
        </is>
      </c>
      <c r="C15" s="6" t="inlineStr">
        <is>
          <t>West</t>
        </is>
      </c>
      <c r="D15" s="8" t="inlineStr">
        <is>
          <t>Zainab Haruna</t>
        </is>
      </c>
      <c r="E15" s="8" t="inlineStr">
        <is>
          <t>Storage</t>
        </is>
      </c>
      <c r="F15" s="8" t="inlineStr">
        <is>
          <t>Samsung SSD</t>
        </is>
      </c>
      <c r="G15" s="33" t="n">
        <v>6</v>
      </c>
      <c r="H15" s="24" t="n">
        <v>275</v>
      </c>
      <c r="I15" s="24">
        <f>G15*H15</f>
        <v/>
      </c>
    </row>
    <row r="16">
      <c r="A16" s="9" t="inlineStr">
        <is>
          <t>TRX-008</t>
        </is>
      </c>
      <c r="B16" s="9" t="inlineStr">
        <is>
          <t>2026-05-09</t>
        </is>
      </c>
      <c r="C16" s="9" t="inlineStr">
        <is>
          <t>North</t>
        </is>
      </c>
      <c r="D16" s="11" t="inlineStr">
        <is>
          <t>Ada Okonkwo</t>
        </is>
      </c>
      <c r="E16" s="11" t="inlineStr">
        <is>
          <t>Computers</t>
        </is>
      </c>
      <c r="F16" s="11" t="inlineStr">
        <is>
          <t>ThinkPad E14</t>
        </is>
      </c>
      <c r="G16" s="35" t="n">
        <v>9</v>
      </c>
      <c r="H16" s="36" t="n">
        <v>300</v>
      </c>
      <c r="I16" s="36">
        <f>G16*H16</f>
        <v/>
      </c>
    </row>
    <row r="17">
      <c r="A17" s="6" t="inlineStr">
        <is>
          <t>TRX-009</t>
        </is>
      </c>
      <c r="B17" s="6" t="inlineStr">
        <is>
          <t>2026-05-10</t>
        </is>
      </c>
      <c r="C17" s="6" t="inlineStr">
        <is>
          <t>South</t>
        </is>
      </c>
      <c r="D17" s="8" t="inlineStr">
        <is>
          <t>Emeka Okeke</t>
        </is>
      </c>
      <c r="E17" s="8" t="inlineStr">
        <is>
          <t>Displays</t>
        </is>
      </c>
      <c r="F17" s="8" t="inlineStr">
        <is>
          <t>Dell 4K</t>
        </is>
      </c>
      <c r="G17" s="33" t="n">
        <v>12</v>
      </c>
      <c r="H17" s="24" t="n">
        <v>325</v>
      </c>
      <c r="I17" s="24">
        <f>G17*H17</f>
        <v/>
      </c>
    </row>
    <row r="18">
      <c r="A18" s="9" t="inlineStr">
        <is>
          <t>TRX-010</t>
        </is>
      </c>
      <c r="B18" s="9" t="inlineStr">
        <is>
          <t>2026-05-11</t>
        </is>
      </c>
      <c r="C18" s="9" t="inlineStr">
        <is>
          <t>East</t>
        </is>
      </c>
      <c r="D18" s="11" t="inlineStr">
        <is>
          <t>Tunde Bakare</t>
        </is>
      </c>
      <c r="E18" s="11" t="inlineStr">
        <is>
          <t>Accessories</t>
        </is>
      </c>
      <c r="F18" s="11" t="inlineStr">
        <is>
          <t>MX Master Mouse</t>
        </is>
      </c>
      <c r="G18" s="35" t="n">
        <v>15</v>
      </c>
      <c r="H18" s="36" t="n">
        <v>350</v>
      </c>
      <c r="I18" s="36">
        <f>G18*H18</f>
        <v/>
      </c>
    </row>
    <row r="19">
      <c r="A19" s="6" t="inlineStr">
        <is>
          <t>TRX-011</t>
        </is>
      </c>
      <c r="B19" s="6" t="inlineStr">
        <is>
          <t>2026-05-12</t>
        </is>
      </c>
      <c r="C19" s="6" t="inlineStr">
        <is>
          <t>West</t>
        </is>
      </c>
      <c r="D19" s="8" t="inlineStr">
        <is>
          <t>Zainab Haruna</t>
        </is>
      </c>
      <c r="E19" s="8" t="inlineStr">
        <is>
          <t>Storage</t>
        </is>
      </c>
      <c r="F19" s="8" t="inlineStr">
        <is>
          <t>Samsung SSD</t>
        </is>
      </c>
      <c r="G19" s="33" t="n">
        <v>18</v>
      </c>
      <c r="H19" s="24" t="n">
        <v>375</v>
      </c>
      <c r="I19" s="24">
        <f>G19*H19</f>
        <v/>
      </c>
    </row>
    <row r="20">
      <c r="A20" s="9" t="inlineStr">
        <is>
          <t>TRX-012</t>
        </is>
      </c>
      <c r="B20" s="9" t="inlineStr">
        <is>
          <t>2026-05-13</t>
        </is>
      </c>
      <c r="C20" s="9" t="inlineStr">
        <is>
          <t>North</t>
        </is>
      </c>
      <c r="D20" s="11" t="inlineStr">
        <is>
          <t>Ada Okonkwo</t>
        </is>
      </c>
      <c r="E20" s="11" t="inlineStr">
        <is>
          <t>Computers</t>
        </is>
      </c>
      <c r="F20" s="11" t="inlineStr">
        <is>
          <t>ThinkPad E14</t>
        </is>
      </c>
      <c r="G20" s="35" t="n">
        <v>21</v>
      </c>
      <c r="H20" s="36" t="n">
        <v>400</v>
      </c>
      <c r="I20" s="36">
        <f>G20*H20</f>
        <v/>
      </c>
    </row>
    <row r="21">
      <c r="A21" s="6" t="inlineStr">
        <is>
          <t>TRX-013</t>
        </is>
      </c>
      <c r="B21" s="6" t="inlineStr">
        <is>
          <t>2026-05-14</t>
        </is>
      </c>
      <c r="C21" s="6" t="inlineStr">
        <is>
          <t>South</t>
        </is>
      </c>
      <c r="D21" s="8" t="inlineStr">
        <is>
          <t>Emeka Okeke</t>
        </is>
      </c>
      <c r="E21" s="8" t="inlineStr">
        <is>
          <t>Displays</t>
        </is>
      </c>
      <c r="F21" s="8" t="inlineStr">
        <is>
          <t>Dell 4K</t>
        </is>
      </c>
      <c r="G21" s="33" t="n">
        <v>24</v>
      </c>
      <c r="H21" s="24" t="n">
        <v>425</v>
      </c>
      <c r="I21" s="24">
        <f>G21*H21</f>
        <v/>
      </c>
    </row>
    <row r="22">
      <c r="A22" s="9" t="inlineStr">
        <is>
          <t>TRX-014</t>
        </is>
      </c>
      <c r="B22" s="9" t="inlineStr">
        <is>
          <t>2026-05-15</t>
        </is>
      </c>
      <c r="C22" s="9" t="inlineStr">
        <is>
          <t>East</t>
        </is>
      </c>
      <c r="D22" s="11" t="inlineStr">
        <is>
          <t>Tunde Bakare</t>
        </is>
      </c>
      <c r="E22" s="11" t="inlineStr">
        <is>
          <t>Accessories</t>
        </is>
      </c>
      <c r="F22" s="11" t="inlineStr">
        <is>
          <t>MX Master Mouse</t>
        </is>
      </c>
      <c r="G22" s="35" t="n">
        <v>7</v>
      </c>
      <c r="H22" s="36" t="n">
        <v>450</v>
      </c>
      <c r="I22" s="36">
        <f>G22*H22</f>
        <v/>
      </c>
    </row>
    <row r="23">
      <c r="A23" s="6" t="inlineStr">
        <is>
          <t>TRX-015</t>
        </is>
      </c>
      <c r="B23" s="6" t="inlineStr">
        <is>
          <t>2026-05-16</t>
        </is>
      </c>
      <c r="C23" s="6" t="inlineStr">
        <is>
          <t>West</t>
        </is>
      </c>
      <c r="D23" s="8" t="inlineStr">
        <is>
          <t>Zainab Haruna</t>
        </is>
      </c>
      <c r="E23" s="8" t="inlineStr">
        <is>
          <t>Storage</t>
        </is>
      </c>
      <c r="F23" s="8" t="inlineStr">
        <is>
          <t>Samsung SSD</t>
        </is>
      </c>
      <c r="G23" s="33" t="n">
        <v>10</v>
      </c>
      <c r="H23" s="24" t="n">
        <v>475</v>
      </c>
      <c r="I23" s="24">
        <f>G23*H23</f>
        <v/>
      </c>
    </row>
    <row r="24">
      <c r="A24" s="9" t="inlineStr">
        <is>
          <t>TRX-016</t>
        </is>
      </c>
      <c r="B24" s="9" t="inlineStr">
        <is>
          <t>2026-05-17</t>
        </is>
      </c>
      <c r="C24" s="9" t="inlineStr">
        <is>
          <t>North</t>
        </is>
      </c>
      <c r="D24" s="11" t="inlineStr">
        <is>
          <t>Ada Okonkwo</t>
        </is>
      </c>
      <c r="E24" s="11" t="inlineStr">
        <is>
          <t>Computers</t>
        </is>
      </c>
      <c r="F24" s="11" t="inlineStr">
        <is>
          <t>ThinkPad E14</t>
        </is>
      </c>
      <c r="G24" s="35" t="n">
        <v>13</v>
      </c>
      <c r="H24" s="36" t="n">
        <v>500</v>
      </c>
      <c r="I24" s="36">
        <f>G24*H24</f>
        <v/>
      </c>
    </row>
    <row r="25">
      <c r="A25" s="6" t="inlineStr">
        <is>
          <t>TRX-017</t>
        </is>
      </c>
      <c r="B25" s="6" t="inlineStr">
        <is>
          <t>2026-05-18</t>
        </is>
      </c>
      <c r="C25" s="6" t="inlineStr">
        <is>
          <t>South</t>
        </is>
      </c>
      <c r="D25" s="8" t="inlineStr">
        <is>
          <t>Emeka Okeke</t>
        </is>
      </c>
      <c r="E25" s="8" t="inlineStr">
        <is>
          <t>Displays</t>
        </is>
      </c>
      <c r="F25" s="8" t="inlineStr">
        <is>
          <t>Dell 4K</t>
        </is>
      </c>
      <c r="G25" s="33" t="n">
        <v>16</v>
      </c>
      <c r="H25" s="24" t="n">
        <v>525</v>
      </c>
      <c r="I25" s="24">
        <f>G25*H25</f>
        <v/>
      </c>
    </row>
    <row r="26">
      <c r="A26" s="9" t="inlineStr">
        <is>
          <t>TRX-018</t>
        </is>
      </c>
      <c r="B26" s="9" t="inlineStr">
        <is>
          <t>2026-05-19</t>
        </is>
      </c>
      <c r="C26" s="9" t="inlineStr">
        <is>
          <t>East</t>
        </is>
      </c>
      <c r="D26" s="11" t="inlineStr">
        <is>
          <t>Tunde Bakare</t>
        </is>
      </c>
      <c r="E26" s="11" t="inlineStr">
        <is>
          <t>Accessories</t>
        </is>
      </c>
      <c r="F26" s="11" t="inlineStr">
        <is>
          <t>MX Master Mouse</t>
        </is>
      </c>
      <c r="G26" s="35" t="n">
        <v>19</v>
      </c>
      <c r="H26" s="36" t="n">
        <v>550</v>
      </c>
      <c r="I26" s="36">
        <f>G26*H26</f>
        <v/>
      </c>
    </row>
    <row r="27">
      <c r="A27" s="6" t="inlineStr">
        <is>
          <t>TRX-019</t>
        </is>
      </c>
      <c r="B27" s="6" t="inlineStr">
        <is>
          <t>2026-05-20</t>
        </is>
      </c>
      <c r="C27" s="6" t="inlineStr">
        <is>
          <t>West</t>
        </is>
      </c>
      <c r="D27" s="8" t="inlineStr">
        <is>
          <t>Zainab Haruna</t>
        </is>
      </c>
      <c r="E27" s="8" t="inlineStr">
        <is>
          <t>Storage</t>
        </is>
      </c>
      <c r="F27" s="8" t="inlineStr">
        <is>
          <t>Samsung SSD</t>
        </is>
      </c>
      <c r="G27" s="33" t="n">
        <v>22</v>
      </c>
      <c r="H27" s="24" t="n">
        <v>575</v>
      </c>
      <c r="I27" s="24">
        <f>G27*H27</f>
        <v/>
      </c>
    </row>
    <row r="28">
      <c r="A28" s="9" t="inlineStr">
        <is>
          <t>TRX-020</t>
        </is>
      </c>
      <c r="B28" s="9" t="inlineStr">
        <is>
          <t>2026-05-21</t>
        </is>
      </c>
      <c r="C28" s="9" t="inlineStr">
        <is>
          <t>North</t>
        </is>
      </c>
      <c r="D28" s="11" t="inlineStr">
        <is>
          <t>Ada Okonkwo</t>
        </is>
      </c>
      <c r="E28" s="11" t="inlineStr">
        <is>
          <t>Computers</t>
        </is>
      </c>
      <c r="F28" s="11" t="inlineStr">
        <is>
          <t>ThinkPad E14</t>
        </is>
      </c>
      <c r="G28" s="35" t="n">
        <v>5</v>
      </c>
      <c r="H28" s="36" t="n">
        <v>600</v>
      </c>
      <c r="I28" s="36">
        <f>G28*H28</f>
        <v/>
      </c>
    </row>
    <row r="29">
      <c r="A29" s="6" t="inlineStr">
        <is>
          <t>TRX-021</t>
        </is>
      </c>
      <c r="B29" s="6" t="inlineStr">
        <is>
          <t>2026-05-22</t>
        </is>
      </c>
      <c r="C29" s="6" t="inlineStr">
        <is>
          <t>South</t>
        </is>
      </c>
      <c r="D29" s="8" t="inlineStr">
        <is>
          <t>Emeka Okeke</t>
        </is>
      </c>
      <c r="E29" s="8" t="inlineStr">
        <is>
          <t>Displays</t>
        </is>
      </c>
      <c r="F29" s="8" t="inlineStr">
        <is>
          <t>Dell 4K</t>
        </is>
      </c>
      <c r="G29" s="33" t="n">
        <v>8</v>
      </c>
      <c r="H29" s="24" t="n">
        <v>625</v>
      </c>
      <c r="I29" s="24">
        <f>G29*H29</f>
        <v/>
      </c>
    </row>
    <row r="30">
      <c r="A30" s="9" t="inlineStr">
        <is>
          <t>TRX-022</t>
        </is>
      </c>
      <c r="B30" s="9" t="inlineStr">
        <is>
          <t>2026-05-23</t>
        </is>
      </c>
      <c r="C30" s="9" t="inlineStr">
        <is>
          <t>East</t>
        </is>
      </c>
      <c r="D30" s="11" t="inlineStr">
        <is>
          <t>Tunde Bakare</t>
        </is>
      </c>
      <c r="E30" s="11" t="inlineStr">
        <is>
          <t>Accessories</t>
        </is>
      </c>
      <c r="F30" s="11" t="inlineStr">
        <is>
          <t>MX Master Mouse</t>
        </is>
      </c>
      <c r="G30" s="35" t="n">
        <v>11</v>
      </c>
      <c r="H30" s="36" t="n">
        <v>650</v>
      </c>
      <c r="I30" s="36">
        <f>G30*H30</f>
        <v/>
      </c>
    </row>
    <row r="31">
      <c r="A31" s="6" t="inlineStr">
        <is>
          <t>TRX-023</t>
        </is>
      </c>
      <c r="B31" s="6" t="inlineStr">
        <is>
          <t>2026-05-24</t>
        </is>
      </c>
      <c r="C31" s="6" t="inlineStr">
        <is>
          <t>West</t>
        </is>
      </c>
      <c r="D31" s="8" t="inlineStr">
        <is>
          <t>Zainab Haruna</t>
        </is>
      </c>
      <c r="E31" s="8" t="inlineStr">
        <is>
          <t>Storage</t>
        </is>
      </c>
      <c r="F31" s="8" t="inlineStr">
        <is>
          <t>Samsung SSD</t>
        </is>
      </c>
      <c r="G31" s="33" t="n">
        <v>14</v>
      </c>
      <c r="H31" s="24" t="n">
        <v>675</v>
      </c>
      <c r="I31" s="24">
        <f>G31*H31</f>
        <v/>
      </c>
    </row>
    <row r="32">
      <c r="A32" s="9" t="inlineStr">
        <is>
          <t>TRX-024</t>
        </is>
      </c>
      <c r="B32" s="9" t="inlineStr">
        <is>
          <t>2026-05-25</t>
        </is>
      </c>
      <c r="C32" s="9" t="inlineStr">
        <is>
          <t>North</t>
        </is>
      </c>
      <c r="D32" s="11" t="inlineStr">
        <is>
          <t>Ada Okonkwo</t>
        </is>
      </c>
      <c r="E32" s="11" t="inlineStr">
        <is>
          <t>Computers</t>
        </is>
      </c>
      <c r="F32" s="11" t="inlineStr">
        <is>
          <t>ThinkPad E14</t>
        </is>
      </c>
      <c r="G32" s="35" t="n">
        <v>17</v>
      </c>
      <c r="H32" s="36" t="n">
        <v>700</v>
      </c>
      <c r="I32" s="36">
        <f>G32*H32</f>
        <v/>
      </c>
    </row>
    <row r="33">
      <c r="A33" s="6" t="inlineStr">
        <is>
          <t>TRX-025</t>
        </is>
      </c>
      <c r="B33" s="6" t="inlineStr">
        <is>
          <t>2026-05-26</t>
        </is>
      </c>
      <c r="C33" s="6" t="inlineStr">
        <is>
          <t>South</t>
        </is>
      </c>
      <c r="D33" s="8" t="inlineStr">
        <is>
          <t>Emeka Okeke</t>
        </is>
      </c>
      <c r="E33" s="8" t="inlineStr">
        <is>
          <t>Displays</t>
        </is>
      </c>
      <c r="F33" s="8" t="inlineStr">
        <is>
          <t>Dell 4K</t>
        </is>
      </c>
      <c r="G33" s="33" t="n">
        <v>20</v>
      </c>
      <c r="H33" s="24" t="n">
        <v>725</v>
      </c>
      <c r="I33" s="24">
        <f>G33*H33</f>
        <v/>
      </c>
    </row>
    <row r="34">
      <c r="A34" s="9" t="inlineStr">
        <is>
          <t>TRX-026</t>
        </is>
      </c>
      <c r="B34" s="9" t="inlineStr">
        <is>
          <t>2026-05-27</t>
        </is>
      </c>
      <c r="C34" s="9" t="inlineStr">
        <is>
          <t>East</t>
        </is>
      </c>
      <c r="D34" s="11" t="inlineStr">
        <is>
          <t>Tunde Bakare</t>
        </is>
      </c>
      <c r="E34" s="11" t="inlineStr">
        <is>
          <t>Accessories</t>
        </is>
      </c>
      <c r="F34" s="11" t="inlineStr">
        <is>
          <t>MX Master Mouse</t>
        </is>
      </c>
      <c r="G34" s="35" t="n">
        <v>23</v>
      </c>
      <c r="H34" s="36" t="n">
        <v>750</v>
      </c>
      <c r="I34" s="36">
        <f>G34*H34</f>
        <v/>
      </c>
    </row>
    <row r="35">
      <c r="A35" s="6" t="inlineStr">
        <is>
          <t>TRX-027</t>
        </is>
      </c>
      <c r="B35" s="6" t="inlineStr">
        <is>
          <t>2026-05-28</t>
        </is>
      </c>
      <c r="C35" s="6" t="inlineStr">
        <is>
          <t>West</t>
        </is>
      </c>
      <c r="D35" s="8" t="inlineStr">
        <is>
          <t>Zainab Haruna</t>
        </is>
      </c>
      <c r="E35" s="8" t="inlineStr">
        <is>
          <t>Storage</t>
        </is>
      </c>
      <c r="F35" s="8" t="inlineStr">
        <is>
          <t>Samsung SSD</t>
        </is>
      </c>
      <c r="G35" s="33" t="n">
        <v>6</v>
      </c>
      <c r="H35" s="24" t="n">
        <v>775</v>
      </c>
      <c r="I35" s="24">
        <f>G35*H35</f>
        <v/>
      </c>
    </row>
    <row r="36">
      <c r="A36" s="9" t="inlineStr">
        <is>
          <t>TRX-028</t>
        </is>
      </c>
      <c r="B36" s="9" t="inlineStr">
        <is>
          <t>2026-05-01</t>
        </is>
      </c>
      <c r="C36" s="9" t="inlineStr">
        <is>
          <t>North</t>
        </is>
      </c>
      <c r="D36" s="11" t="inlineStr">
        <is>
          <t>Ada Okonkwo</t>
        </is>
      </c>
      <c r="E36" s="11" t="inlineStr">
        <is>
          <t>Computers</t>
        </is>
      </c>
      <c r="F36" s="11" t="inlineStr">
        <is>
          <t>ThinkPad E14</t>
        </is>
      </c>
      <c r="G36" s="35" t="n">
        <v>9</v>
      </c>
      <c r="H36" s="36" t="n">
        <v>800</v>
      </c>
      <c r="I36" s="36">
        <f>G36*H36</f>
        <v/>
      </c>
    </row>
    <row r="37">
      <c r="A37" s="6" t="inlineStr">
        <is>
          <t>TRX-029</t>
        </is>
      </c>
      <c r="B37" s="6" t="inlineStr">
        <is>
          <t>2026-05-02</t>
        </is>
      </c>
      <c r="C37" s="6" t="inlineStr">
        <is>
          <t>South</t>
        </is>
      </c>
      <c r="D37" s="8" t="inlineStr">
        <is>
          <t>Emeka Okeke</t>
        </is>
      </c>
      <c r="E37" s="8" t="inlineStr">
        <is>
          <t>Displays</t>
        </is>
      </c>
      <c r="F37" s="8" t="inlineStr">
        <is>
          <t>Dell 4K</t>
        </is>
      </c>
      <c r="G37" s="33" t="n">
        <v>12</v>
      </c>
      <c r="H37" s="24" t="n">
        <v>825</v>
      </c>
      <c r="I37" s="24">
        <f>G37*H37</f>
        <v/>
      </c>
    </row>
    <row r="38">
      <c r="A38" s="9" t="inlineStr">
        <is>
          <t>TRX-030</t>
        </is>
      </c>
      <c r="B38" s="9" t="inlineStr">
        <is>
          <t>2026-05-03</t>
        </is>
      </c>
      <c r="C38" s="9" t="inlineStr">
        <is>
          <t>East</t>
        </is>
      </c>
      <c r="D38" s="11" t="inlineStr">
        <is>
          <t>Tunde Bakare</t>
        </is>
      </c>
      <c r="E38" s="11" t="inlineStr">
        <is>
          <t>Accessories</t>
        </is>
      </c>
      <c r="F38" s="11" t="inlineStr">
        <is>
          <t>MX Master Mouse</t>
        </is>
      </c>
      <c r="G38" s="35" t="n">
        <v>15</v>
      </c>
      <c r="H38" s="36" t="n">
        <v>850</v>
      </c>
      <c r="I38" s="36">
        <f>G38*H38</f>
        <v/>
      </c>
    </row>
    <row r="39">
      <c r="A39" s="6" t="inlineStr">
        <is>
          <t>TRX-031</t>
        </is>
      </c>
      <c r="B39" s="6" t="inlineStr">
        <is>
          <t>2026-05-04</t>
        </is>
      </c>
      <c r="C39" s="6" t="inlineStr">
        <is>
          <t>West</t>
        </is>
      </c>
      <c r="D39" s="8" t="inlineStr">
        <is>
          <t>Zainab Haruna</t>
        </is>
      </c>
      <c r="E39" s="8" t="inlineStr">
        <is>
          <t>Storage</t>
        </is>
      </c>
      <c r="F39" s="8" t="inlineStr">
        <is>
          <t>Samsung SSD</t>
        </is>
      </c>
      <c r="G39" s="33" t="n">
        <v>18</v>
      </c>
      <c r="H39" s="24" t="n">
        <v>875</v>
      </c>
      <c r="I39" s="24">
        <f>G39*H39</f>
        <v/>
      </c>
    </row>
    <row r="40">
      <c r="A40" s="9" t="inlineStr">
        <is>
          <t>TRX-032</t>
        </is>
      </c>
      <c r="B40" s="9" t="inlineStr">
        <is>
          <t>2026-05-05</t>
        </is>
      </c>
      <c r="C40" s="9" t="inlineStr">
        <is>
          <t>North</t>
        </is>
      </c>
      <c r="D40" s="11" t="inlineStr">
        <is>
          <t>Ada Okonkwo</t>
        </is>
      </c>
      <c r="E40" s="11" t="inlineStr">
        <is>
          <t>Computers</t>
        </is>
      </c>
      <c r="F40" s="11" t="inlineStr">
        <is>
          <t>ThinkPad E14</t>
        </is>
      </c>
      <c r="G40" s="35" t="n">
        <v>21</v>
      </c>
      <c r="H40" s="36" t="n">
        <v>100</v>
      </c>
      <c r="I40" s="36">
        <f>G40*H40</f>
        <v/>
      </c>
    </row>
    <row r="41">
      <c r="A41" s="6" t="inlineStr">
        <is>
          <t>TRX-033</t>
        </is>
      </c>
      <c r="B41" s="6" t="inlineStr">
        <is>
          <t>2026-05-06</t>
        </is>
      </c>
      <c r="C41" s="6" t="inlineStr">
        <is>
          <t>South</t>
        </is>
      </c>
      <c r="D41" s="8" t="inlineStr">
        <is>
          <t>Emeka Okeke</t>
        </is>
      </c>
      <c r="E41" s="8" t="inlineStr">
        <is>
          <t>Displays</t>
        </is>
      </c>
      <c r="F41" s="8" t="inlineStr">
        <is>
          <t>Dell 4K</t>
        </is>
      </c>
      <c r="G41" s="33" t="n">
        <v>24</v>
      </c>
      <c r="H41" s="24" t="n">
        <v>125</v>
      </c>
      <c r="I41" s="24">
        <f>G41*H41</f>
        <v/>
      </c>
    </row>
    <row r="42">
      <c r="A42" s="9" t="inlineStr">
        <is>
          <t>TRX-034</t>
        </is>
      </c>
      <c r="B42" s="9" t="inlineStr">
        <is>
          <t>2026-05-07</t>
        </is>
      </c>
      <c r="C42" s="9" t="inlineStr">
        <is>
          <t>East</t>
        </is>
      </c>
      <c r="D42" s="11" t="inlineStr">
        <is>
          <t>Tunde Bakare</t>
        </is>
      </c>
      <c r="E42" s="11" t="inlineStr">
        <is>
          <t>Accessories</t>
        </is>
      </c>
      <c r="F42" s="11" t="inlineStr">
        <is>
          <t>MX Master Mouse</t>
        </is>
      </c>
      <c r="G42" s="35" t="n">
        <v>7</v>
      </c>
      <c r="H42" s="36" t="n">
        <v>150</v>
      </c>
      <c r="I42" s="36">
        <f>G42*H42</f>
        <v/>
      </c>
    </row>
    <row r="43">
      <c r="A43" s="6" t="inlineStr">
        <is>
          <t>TRX-035</t>
        </is>
      </c>
      <c r="B43" s="6" t="inlineStr">
        <is>
          <t>2026-05-08</t>
        </is>
      </c>
      <c r="C43" s="6" t="inlineStr">
        <is>
          <t>West</t>
        </is>
      </c>
      <c r="D43" s="8" t="inlineStr">
        <is>
          <t>Zainab Haruna</t>
        </is>
      </c>
      <c r="E43" s="8" t="inlineStr">
        <is>
          <t>Storage</t>
        </is>
      </c>
      <c r="F43" s="8" t="inlineStr">
        <is>
          <t>Samsung SSD</t>
        </is>
      </c>
      <c r="G43" s="33" t="n">
        <v>10</v>
      </c>
      <c r="H43" s="24" t="n">
        <v>175</v>
      </c>
      <c r="I43" s="24">
        <f>G43*H43</f>
        <v/>
      </c>
    </row>
    <row r="44">
      <c r="A44" s="9" t="inlineStr">
        <is>
          <t>TRX-036</t>
        </is>
      </c>
      <c r="B44" s="9" t="inlineStr">
        <is>
          <t>2026-05-09</t>
        </is>
      </c>
      <c r="C44" s="9" t="inlineStr">
        <is>
          <t>North</t>
        </is>
      </c>
      <c r="D44" s="11" t="inlineStr">
        <is>
          <t>Ada Okonkwo</t>
        </is>
      </c>
      <c r="E44" s="11" t="inlineStr">
        <is>
          <t>Computers</t>
        </is>
      </c>
      <c r="F44" s="11" t="inlineStr">
        <is>
          <t>ThinkPad E14</t>
        </is>
      </c>
      <c r="G44" s="35" t="n">
        <v>13</v>
      </c>
      <c r="H44" s="36" t="n">
        <v>200</v>
      </c>
      <c r="I44" s="36">
        <f>G44*H44</f>
        <v/>
      </c>
    </row>
    <row r="45">
      <c r="A45" s="6" t="inlineStr">
        <is>
          <t>TRX-037</t>
        </is>
      </c>
      <c r="B45" s="6" t="inlineStr">
        <is>
          <t>2026-05-10</t>
        </is>
      </c>
      <c r="C45" s="6" t="inlineStr">
        <is>
          <t>South</t>
        </is>
      </c>
      <c r="D45" s="8" t="inlineStr">
        <is>
          <t>Emeka Okeke</t>
        </is>
      </c>
      <c r="E45" s="8" t="inlineStr">
        <is>
          <t>Displays</t>
        </is>
      </c>
      <c r="F45" s="8" t="inlineStr">
        <is>
          <t>Dell 4K</t>
        </is>
      </c>
      <c r="G45" s="33" t="n">
        <v>16</v>
      </c>
      <c r="H45" s="24" t="n">
        <v>225</v>
      </c>
      <c r="I45" s="24">
        <f>G45*H45</f>
        <v/>
      </c>
    </row>
    <row r="46">
      <c r="A46" s="9" t="inlineStr">
        <is>
          <t>TRX-038</t>
        </is>
      </c>
      <c r="B46" s="9" t="inlineStr">
        <is>
          <t>2026-05-11</t>
        </is>
      </c>
      <c r="C46" s="9" t="inlineStr">
        <is>
          <t>East</t>
        </is>
      </c>
      <c r="D46" s="11" t="inlineStr">
        <is>
          <t>Tunde Bakare</t>
        </is>
      </c>
      <c r="E46" s="11" t="inlineStr">
        <is>
          <t>Accessories</t>
        </is>
      </c>
      <c r="F46" s="11" t="inlineStr">
        <is>
          <t>MX Master Mouse</t>
        </is>
      </c>
      <c r="G46" s="35" t="n">
        <v>19</v>
      </c>
      <c r="H46" s="36" t="n">
        <v>250</v>
      </c>
      <c r="I46" s="36">
        <f>G46*H46</f>
        <v/>
      </c>
    </row>
    <row r="47">
      <c r="A47" s="6" t="inlineStr">
        <is>
          <t>TRX-039</t>
        </is>
      </c>
      <c r="B47" s="6" t="inlineStr">
        <is>
          <t>2026-05-12</t>
        </is>
      </c>
      <c r="C47" s="6" t="inlineStr">
        <is>
          <t>West</t>
        </is>
      </c>
      <c r="D47" s="8" t="inlineStr">
        <is>
          <t>Zainab Haruna</t>
        </is>
      </c>
      <c r="E47" s="8" t="inlineStr">
        <is>
          <t>Storage</t>
        </is>
      </c>
      <c r="F47" s="8" t="inlineStr">
        <is>
          <t>Samsung SSD</t>
        </is>
      </c>
      <c r="G47" s="33" t="n">
        <v>22</v>
      </c>
      <c r="H47" s="24" t="n">
        <v>275</v>
      </c>
      <c r="I47" s="24">
        <f>G47*H47</f>
        <v/>
      </c>
    </row>
    <row r="48">
      <c r="A48" s="9" t="inlineStr">
        <is>
          <t>TRX-040</t>
        </is>
      </c>
      <c r="B48" s="9" t="inlineStr">
        <is>
          <t>2026-05-13</t>
        </is>
      </c>
      <c r="C48" s="9" t="inlineStr">
        <is>
          <t>North</t>
        </is>
      </c>
      <c r="D48" s="11" t="inlineStr">
        <is>
          <t>Ada Okonkwo</t>
        </is>
      </c>
      <c r="E48" s="11" t="inlineStr">
        <is>
          <t>Computers</t>
        </is>
      </c>
      <c r="F48" s="11" t="inlineStr">
        <is>
          <t>ThinkPad E14</t>
        </is>
      </c>
      <c r="G48" s="35" t="n">
        <v>5</v>
      </c>
      <c r="H48" s="36" t="n">
        <v>300</v>
      </c>
      <c r="I48" s="36">
        <f>G48*H48</f>
        <v/>
      </c>
    </row>
    <row r="49">
      <c r="A49" s="6" t="inlineStr">
        <is>
          <t>TRX-041</t>
        </is>
      </c>
      <c r="B49" s="6" t="inlineStr">
        <is>
          <t>2026-05-14</t>
        </is>
      </c>
      <c r="C49" s="6" t="inlineStr">
        <is>
          <t>South</t>
        </is>
      </c>
      <c r="D49" s="8" t="inlineStr">
        <is>
          <t>Emeka Okeke</t>
        </is>
      </c>
      <c r="E49" s="8" t="inlineStr">
        <is>
          <t>Displays</t>
        </is>
      </c>
      <c r="F49" s="8" t="inlineStr">
        <is>
          <t>Dell 4K</t>
        </is>
      </c>
      <c r="G49" s="33" t="n">
        <v>8</v>
      </c>
      <c r="H49" s="24" t="n">
        <v>325</v>
      </c>
      <c r="I49" s="24">
        <f>G49*H49</f>
        <v/>
      </c>
    </row>
    <row r="50">
      <c r="A50" s="9" t="inlineStr">
        <is>
          <t>TRX-042</t>
        </is>
      </c>
      <c r="B50" s="9" t="inlineStr">
        <is>
          <t>2026-05-15</t>
        </is>
      </c>
      <c r="C50" s="9" t="inlineStr">
        <is>
          <t>East</t>
        </is>
      </c>
      <c r="D50" s="11" t="inlineStr">
        <is>
          <t>Tunde Bakare</t>
        </is>
      </c>
      <c r="E50" s="11" t="inlineStr">
        <is>
          <t>Accessories</t>
        </is>
      </c>
      <c r="F50" s="11" t="inlineStr">
        <is>
          <t>MX Master Mouse</t>
        </is>
      </c>
      <c r="G50" s="35" t="n">
        <v>11</v>
      </c>
      <c r="H50" s="36" t="n">
        <v>350</v>
      </c>
      <c r="I50" s="36">
        <f>G50*H50</f>
        <v/>
      </c>
    </row>
    <row r="51">
      <c r="A51" s="6" t="inlineStr">
        <is>
          <t>TRX-043</t>
        </is>
      </c>
      <c r="B51" s="6" t="inlineStr">
        <is>
          <t>2026-05-16</t>
        </is>
      </c>
      <c r="C51" s="6" t="inlineStr">
        <is>
          <t>West</t>
        </is>
      </c>
      <c r="D51" s="8" t="inlineStr">
        <is>
          <t>Zainab Haruna</t>
        </is>
      </c>
      <c r="E51" s="8" t="inlineStr">
        <is>
          <t>Storage</t>
        </is>
      </c>
      <c r="F51" s="8" t="inlineStr">
        <is>
          <t>Samsung SSD</t>
        </is>
      </c>
      <c r="G51" s="33" t="n">
        <v>14</v>
      </c>
      <c r="H51" s="24" t="n">
        <v>375</v>
      </c>
      <c r="I51" s="24">
        <f>G51*H51</f>
        <v/>
      </c>
    </row>
    <row r="52">
      <c r="A52" s="9" t="inlineStr">
        <is>
          <t>TRX-044</t>
        </is>
      </c>
      <c r="B52" s="9" t="inlineStr">
        <is>
          <t>2026-05-17</t>
        </is>
      </c>
      <c r="C52" s="9" t="inlineStr">
        <is>
          <t>North</t>
        </is>
      </c>
      <c r="D52" s="11" t="inlineStr">
        <is>
          <t>Ada Okonkwo</t>
        </is>
      </c>
      <c r="E52" s="11" t="inlineStr">
        <is>
          <t>Computers</t>
        </is>
      </c>
      <c r="F52" s="11" t="inlineStr">
        <is>
          <t>ThinkPad E14</t>
        </is>
      </c>
      <c r="G52" s="35" t="n">
        <v>17</v>
      </c>
      <c r="H52" s="36" t="n">
        <v>400</v>
      </c>
      <c r="I52" s="36">
        <f>G52*H52</f>
        <v/>
      </c>
    </row>
    <row r="53">
      <c r="A53" s="6" t="inlineStr">
        <is>
          <t>TRX-045</t>
        </is>
      </c>
      <c r="B53" s="6" t="inlineStr">
        <is>
          <t>2026-05-18</t>
        </is>
      </c>
      <c r="C53" s="6" t="inlineStr">
        <is>
          <t>South</t>
        </is>
      </c>
      <c r="D53" s="8" t="inlineStr">
        <is>
          <t>Emeka Okeke</t>
        </is>
      </c>
      <c r="E53" s="8" t="inlineStr">
        <is>
          <t>Displays</t>
        </is>
      </c>
      <c r="F53" s="8" t="inlineStr">
        <is>
          <t>Dell 4K</t>
        </is>
      </c>
      <c r="G53" s="33" t="n">
        <v>20</v>
      </c>
      <c r="H53" s="24" t="n">
        <v>425</v>
      </c>
      <c r="I53" s="24">
        <f>G53*H53</f>
        <v/>
      </c>
    </row>
    <row r="54">
      <c r="A54" s="9" t="inlineStr">
        <is>
          <t>TRX-046</t>
        </is>
      </c>
      <c r="B54" s="9" t="inlineStr">
        <is>
          <t>2026-05-19</t>
        </is>
      </c>
      <c r="C54" s="9" t="inlineStr">
        <is>
          <t>East</t>
        </is>
      </c>
      <c r="D54" s="11" t="inlineStr">
        <is>
          <t>Tunde Bakare</t>
        </is>
      </c>
      <c r="E54" s="11" t="inlineStr">
        <is>
          <t>Accessories</t>
        </is>
      </c>
      <c r="F54" s="11" t="inlineStr">
        <is>
          <t>MX Master Mouse</t>
        </is>
      </c>
      <c r="G54" s="35" t="n">
        <v>23</v>
      </c>
      <c r="H54" s="36" t="n">
        <v>450</v>
      </c>
      <c r="I54" s="36">
        <f>G54*H54</f>
        <v/>
      </c>
    </row>
    <row r="55">
      <c r="A55" s="6" t="inlineStr">
        <is>
          <t>TRX-047</t>
        </is>
      </c>
      <c r="B55" s="6" t="inlineStr">
        <is>
          <t>2026-05-20</t>
        </is>
      </c>
      <c r="C55" s="6" t="inlineStr">
        <is>
          <t>West</t>
        </is>
      </c>
      <c r="D55" s="8" t="inlineStr">
        <is>
          <t>Zainab Haruna</t>
        </is>
      </c>
      <c r="E55" s="8" t="inlineStr">
        <is>
          <t>Storage</t>
        </is>
      </c>
      <c r="F55" s="8" t="inlineStr">
        <is>
          <t>Samsung SSD</t>
        </is>
      </c>
      <c r="G55" s="33" t="n">
        <v>6</v>
      </c>
      <c r="H55" s="24" t="n">
        <v>475</v>
      </c>
      <c r="I55" s="24">
        <f>G55*H55</f>
        <v/>
      </c>
    </row>
    <row r="56">
      <c r="A56" s="9" t="inlineStr">
        <is>
          <t>TRX-048</t>
        </is>
      </c>
      <c r="B56" s="9" t="inlineStr">
        <is>
          <t>2026-05-21</t>
        </is>
      </c>
      <c r="C56" s="9" t="inlineStr">
        <is>
          <t>North</t>
        </is>
      </c>
      <c r="D56" s="11" t="inlineStr">
        <is>
          <t>Ada Okonkwo</t>
        </is>
      </c>
      <c r="E56" s="11" t="inlineStr">
        <is>
          <t>Computers</t>
        </is>
      </c>
      <c r="F56" s="11" t="inlineStr">
        <is>
          <t>ThinkPad E14</t>
        </is>
      </c>
      <c r="G56" s="35" t="n">
        <v>9</v>
      </c>
      <c r="H56" s="36" t="n">
        <v>500</v>
      </c>
      <c r="I56" s="36">
        <f>G56*H56</f>
        <v/>
      </c>
    </row>
    <row r="57">
      <c r="A57" s="6" t="inlineStr">
        <is>
          <t>TRX-049</t>
        </is>
      </c>
      <c r="B57" s="6" t="inlineStr">
        <is>
          <t>2026-05-22</t>
        </is>
      </c>
      <c r="C57" s="6" t="inlineStr">
        <is>
          <t>South</t>
        </is>
      </c>
      <c r="D57" s="8" t="inlineStr">
        <is>
          <t>Emeka Okeke</t>
        </is>
      </c>
      <c r="E57" s="8" t="inlineStr">
        <is>
          <t>Displays</t>
        </is>
      </c>
      <c r="F57" s="8" t="inlineStr">
        <is>
          <t>Dell 4K</t>
        </is>
      </c>
      <c r="G57" s="33" t="n">
        <v>12</v>
      </c>
      <c r="H57" s="24" t="n">
        <v>525</v>
      </c>
      <c r="I57" s="24">
        <f>G57*H57</f>
        <v/>
      </c>
    </row>
    <row r="58">
      <c r="A58" s="9" t="inlineStr">
        <is>
          <t>TRX-050</t>
        </is>
      </c>
      <c r="B58" s="9" t="inlineStr">
        <is>
          <t>2026-05-23</t>
        </is>
      </c>
      <c r="C58" s="9" t="inlineStr">
        <is>
          <t>East</t>
        </is>
      </c>
      <c r="D58" s="11" t="inlineStr">
        <is>
          <t>Tunde Bakare</t>
        </is>
      </c>
      <c r="E58" s="11" t="inlineStr">
        <is>
          <t>Accessories</t>
        </is>
      </c>
      <c r="F58" s="11" t="inlineStr">
        <is>
          <t>MX Master Mouse</t>
        </is>
      </c>
      <c r="G58" s="35" t="n">
        <v>15</v>
      </c>
      <c r="H58" s="36" t="n">
        <v>550</v>
      </c>
      <c r="I58" s="36">
        <f>G58*H58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2" t="inlineStr">
        <is>
          <t>⬅️ Back to Course Roadmap</t>
        </is>
      </c>
    </row>
    <row r="2">
      <c r="A2" s="1" t="inlineStr">
        <is>
          <t>📊 MODULE 6: EXECUTIVE 1-PAGE DASHBOARD CANVAS</t>
        </is>
      </c>
    </row>
    <row r="3">
      <c r="A3" s="2" t="inlineStr">
        <is>
          <t>Module 6 | Slide Reference: Slides 56–57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Clean executive presentation canvas with KPI cards, chart zones, and slicer dock that fits entirely on one screen.</t>
        </is>
      </c>
    </row>
    <row r="7"/>
    <row r="8">
      <c r="A8" s="37" t="inlineStr">
        <is>
          <t>TOTAL REVENUE</t>
        </is>
      </c>
      <c r="D8" s="37" t="inlineStr">
        <is>
          <t>TOTAL UNITS SOLD</t>
        </is>
      </c>
      <c r="G8" s="37" t="inlineStr">
        <is>
          <t>PROFIT MARGIN</t>
        </is>
      </c>
      <c r="J8" s="37" t="inlineStr">
        <is>
          <t>TOP REGION</t>
        </is>
      </c>
    </row>
    <row r="9">
      <c r="A9" s="38" t="inlineStr">
        <is>
          <t>$185,420</t>
        </is>
      </c>
      <c r="D9" s="38" t="inlineStr">
        <is>
          <t>1,840</t>
        </is>
      </c>
      <c r="G9" s="38" t="inlineStr">
        <is>
          <t>28.5%</t>
        </is>
      </c>
      <c r="J9" s="38" t="inlineStr">
        <is>
          <t>North</t>
        </is>
      </c>
    </row>
    <row r="10">
      <c r="A10" s="39" t="inlineStr">
        <is>
          <t>Gross sales volume across all regions</t>
        </is>
      </c>
      <c r="D10" s="39" t="inlineStr">
        <is>
          <t>Total inventory units shipped</t>
        </is>
      </c>
      <c r="G10" s="39" t="inlineStr">
        <is>
          <t>Blended operational gross margin</t>
        </is>
      </c>
      <c r="J10" s="39" t="inlineStr">
        <is>
          <t>Leading revenue contributor ($74k)</t>
        </is>
      </c>
    </row>
    <row r="11"/>
    <row r="12">
      <c r="A12" s="40" t="inlineStr">
        <is>
          <t>📈 [CHART ZONE 1]
Revenue by Category &amp; Region
(Insert Clustered Column Chart linked to Pivot Table)</t>
        </is>
      </c>
      <c r="G12" s="40" t="inlineStr">
        <is>
          <t>🍩 [CHART ZONE 2]
Sales Distribution by Sales Rep
(Insert Donut or Bar Chart linked to Pivot Table)</t>
        </is>
      </c>
    </row>
    <row r="13"/>
    <row r="14"/>
    <row r="15"/>
    <row r="16"/>
    <row r="17"/>
    <row r="18"/>
    <row r="19"/>
    <row r="20"/>
    <row r="21"/>
    <row r="22"/>
  </sheetData>
  <mergeCells count="14">
    <mergeCell ref="A10:C10"/>
    <mergeCell ref="G10:I10"/>
    <mergeCell ref="J10:L10"/>
    <mergeCell ref="A8:C8"/>
    <mergeCell ref="G12:L22"/>
    <mergeCell ref="A9:C9"/>
    <mergeCell ref="G8:I8"/>
    <mergeCell ref="D9:F9"/>
    <mergeCell ref="G9:I9"/>
    <mergeCell ref="J8:L8"/>
    <mergeCell ref="A12:F22"/>
    <mergeCell ref="J9:L9"/>
    <mergeCell ref="D8:F8"/>
    <mergeCell ref="D10:F10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</cols>
  <sheetData>
    <row r="1">
      <c r="A1" s="12" t="inlineStr">
        <is>
          <t>⬅️ Back to Course Roadmap</t>
        </is>
      </c>
    </row>
    <row r="2">
      <c r="A2" s="1" t="inlineStr">
        <is>
          <t>🤖 MODULE 6: MACROS AUTOMATION &amp; SHEET PROTECTION</t>
        </is>
      </c>
    </row>
    <row r="3">
      <c r="A3" s="2" t="inlineStr">
        <is>
          <t>Module 6 | Slide Reference: Slides 59–60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Automate repetitive daily tasks via Macros and protect formulas from accidental tampering using Sheet Protection.</t>
        </is>
      </c>
    </row>
    <row r="7"/>
    <row r="8">
      <c r="A8" s="19" t="inlineStr">
        <is>
          <t>STEP-BY-STEP MACRO RECORDING WORKFLOW:</t>
        </is>
      </c>
    </row>
    <row r="9">
      <c r="A9" s="5" t="inlineStr">
        <is>
          <t>Step #</t>
        </is>
      </c>
      <c r="B9" s="5" t="inlineStr">
        <is>
          <t>Action</t>
        </is>
      </c>
      <c r="C9" s="5" t="inlineStr">
        <is>
          <t>Exact Procedure</t>
        </is>
      </c>
    </row>
    <row r="10">
      <c r="A10" s="9" t="inlineStr">
        <is>
          <t>Step 1</t>
        </is>
      </c>
      <c r="B10" s="41" t="inlineStr">
        <is>
          <t>Enable Developer Tab</t>
        </is>
      </c>
      <c r="C10" s="11" t="inlineStr">
        <is>
          <t>File ➔ Options ➔ Customize Ribbon ➔ Check 'Developer' ➔ OK</t>
        </is>
      </c>
    </row>
    <row r="11">
      <c r="A11" s="6" t="inlineStr">
        <is>
          <t>Step 2</t>
        </is>
      </c>
      <c r="B11" s="42" t="inlineStr">
        <is>
          <t>Plan Your Clicks</t>
        </is>
      </c>
      <c r="C11" s="8" t="inlineStr">
        <is>
          <t>Decide the exact steps: Bold Row 1, format column to currency, add AutoSum</t>
        </is>
      </c>
    </row>
    <row r="12">
      <c r="A12" s="9" t="inlineStr">
        <is>
          <t>Step 3</t>
        </is>
      </c>
      <c r="B12" s="41" t="inlineStr">
        <is>
          <t>Click Record Macro</t>
        </is>
      </c>
      <c r="C12" s="11" t="inlineStr">
        <is>
          <t>Developer tab ➔ Record Macro ➔ Name: FormatReport ➔ Shortcut: Ctrl+Shift+F</t>
        </is>
      </c>
    </row>
    <row r="13">
      <c r="A13" s="6" t="inlineStr">
        <is>
          <t>Step 4</t>
        </is>
      </c>
      <c r="B13" s="42" t="inlineStr">
        <is>
          <t>Perform Actions</t>
        </is>
      </c>
      <c r="C13" s="8" t="inlineStr">
        <is>
          <t>Execute formatting cleanly without unnecessary clicking</t>
        </is>
      </c>
    </row>
    <row r="14">
      <c r="A14" s="9" t="inlineStr">
        <is>
          <t>Step 5</t>
        </is>
      </c>
      <c r="B14" s="41" t="inlineStr">
        <is>
          <t>Click Stop Recording</t>
        </is>
      </c>
      <c r="C14" s="11" t="inlineStr">
        <is>
          <t>Developer tab ➔ Stop Recording</t>
        </is>
      </c>
    </row>
    <row r="15">
      <c r="A15" s="6" t="inlineStr">
        <is>
          <t>Step 6</t>
        </is>
      </c>
      <c r="B15" s="42" t="inlineStr">
        <is>
          <t>Save as .xlsm</t>
        </is>
      </c>
      <c r="C15" s="8" t="inlineStr">
        <is>
          <t>File ➔ Save As ➔ Save as type: 'Excel Macro-Enabled Workbook (*.xlsm)'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9" customWidth="1" min="3" max="3"/>
    <col width="13" customWidth="1" min="4" max="4"/>
    <col width="13" customWidth="1" min="5" max="5"/>
    <col width="19" customWidth="1" min="6" max="6"/>
    <col width="40" customWidth="1" min="7" max="7"/>
    <col width="30" customWidth="1" min="8" max="8"/>
    <col width="32" customWidth="1" min="9" max="9"/>
    <col width="33" customWidth="1" min="10" max="10"/>
    <col width="34" customWidth="1" min="11" max="11"/>
    <col width="50" customWidth="1" min="12" max="12"/>
  </cols>
  <sheetData>
    <row r="1">
      <c r="A1" s="12" t="inlineStr">
        <is>
          <t>⬅️ Back to Course Roadmap</t>
        </is>
      </c>
    </row>
    <row r="2">
      <c r="A2" s="1" t="inlineStr">
        <is>
          <t>🏆 FINAL CAPSTONE PROJECT: EMPLOYEE PERFORMANCE &amp; COMPENSATION TRACKER</t>
        </is>
      </c>
    </row>
    <row r="3">
      <c r="A3" s="2" t="inlineStr">
        <is>
          <t>Capstone | Slide Reference: Slides 61–64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Synthesize ALL course skills: Data Cleaning (TRIM/PROPER) + Lookups (XLOOKUP) + Logic (IF/AND/IFS) + Dates (DATEDIF) + KPIs!</t>
        </is>
      </c>
    </row>
    <row r="7"/>
    <row r="8">
      <c r="A8" s="5" t="inlineStr">
        <is>
          <t>Staff ID</t>
        </is>
      </c>
      <c r="B8" s="5" t="inlineStr">
        <is>
          <t>Raw Name</t>
        </is>
      </c>
      <c r="C8" s="5" t="inlineStr">
        <is>
          <t>Department</t>
        </is>
      </c>
      <c r="D8" s="5" t="inlineStr">
        <is>
          <t>Hire Date</t>
        </is>
      </c>
      <c r="E8" s="5" t="inlineStr">
        <is>
          <t>Target ($)</t>
        </is>
      </c>
      <c r="F8" s="5" t="inlineStr">
        <is>
          <t>Actual Sales ($)</t>
        </is>
      </c>
      <c r="G8" s="5" t="inlineStr">
        <is>
          <t>[CAPSTONE 1] Clean Name (PROPER+TRIM)</t>
        </is>
      </c>
      <c r="H8" s="5" t="inlineStr">
        <is>
          <t>[CAPSTONE 2] Tenure (Years)</t>
        </is>
      </c>
      <c r="I8" s="5" t="inlineStr">
        <is>
          <t>[CAPSTONE 3] Target Met? (IF)</t>
        </is>
      </c>
      <c r="J8" s="5" t="inlineStr">
        <is>
          <t>[CAPSTONE 4] Commission $ (IF)</t>
        </is>
      </c>
      <c r="K8" s="5" t="inlineStr">
        <is>
          <t>[CAPSTONE 5] Grade Rating (IFS)</t>
        </is>
      </c>
      <c r="L8" s="5" t="inlineStr">
        <is>
          <t>Capstone Check</t>
        </is>
      </c>
    </row>
    <row r="9">
      <c r="A9" s="6" t="inlineStr">
        <is>
          <t>EMP-801</t>
        </is>
      </c>
      <c r="B9" s="8" t="inlineStr">
        <is>
          <t xml:space="preserve">  tolu  OLANIYAN</t>
        </is>
      </c>
      <c r="C9" s="8" t="inlineStr">
        <is>
          <t>Enterprise Sales</t>
        </is>
      </c>
      <c r="D9" s="6" t="inlineStr">
        <is>
          <t>2021-03-15</t>
        </is>
      </c>
      <c r="E9" s="34" t="n">
        <v>100000</v>
      </c>
      <c r="F9" s="34" t="n">
        <v>142000</v>
      </c>
      <c r="G9" s="20" t="n"/>
      <c r="H9" s="20" t="n"/>
      <c r="I9" s="20" t="n"/>
      <c r="J9" s="43" t="n"/>
      <c r="K9" s="20" t="n"/>
      <c r="L9" s="21">
        <f>IF(G9="","🟡 Enter formulas",IF(G9=PROPER(TRIM(B9)),"✅ Cleaned Name!","❌ Re-check"))</f>
        <v/>
      </c>
    </row>
    <row r="10">
      <c r="A10" s="6" t="inlineStr">
        <is>
          <t>EMP-802</t>
        </is>
      </c>
      <c r="B10" s="8" t="inlineStr">
        <is>
          <t xml:space="preserve">ngozi  eze </t>
        </is>
      </c>
      <c r="C10" s="8" t="inlineStr">
        <is>
          <t>Retail Sales</t>
        </is>
      </c>
      <c r="D10" s="6" t="inlineStr">
        <is>
          <t>2023-07-01</t>
        </is>
      </c>
      <c r="E10" s="34" t="n">
        <v>100000</v>
      </c>
      <c r="F10" s="34" t="n">
        <v>89000</v>
      </c>
      <c r="G10" s="20" t="n"/>
      <c r="H10" s="20" t="n"/>
      <c r="I10" s="20" t="n"/>
      <c r="J10" s="43" t="n"/>
      <c r="K10" s="20" t="n"/>
      <c r="L10" s="21">
        <f>IF(G10="","🟡 Enter formulas",IF(G10=PROPER(TRIM(B10)),"✅ Cleaned Name!","❌ Re-check"))</f>
        <v/>
      </c>
    </row>
    <row r="11">
      <c r="A11" s="6" t="inlineStr">
        <is>
          <t>EMP-803</t>
        </is>
      </c>
      <c r="B11" s="8" t="inlineStr">
        <is>
          <t xml:space="preserve"> ahmed  SANI  </t>
        </is>
      </c>
      <c r="C11" s="8" t="inlineStr">
        <is>
          <t>Customer Success</t>
        </is>
      </c>
      <c r="D11" s="6" t="inlineStr">
        <is>
          <t>2020-01-10</t>
        </is>
      </c>
      <c r="E11" s="34" t="n">
        <v>80000</v>
      </c>
      <c r="F11" s="34" t="n">
        <v>95000</v>
      </c>
      <c r="G11" s="20" t="n"/>
      <c r="H11" s="20" t="n"/>
      <c r="I11" s="20" t="n"/>
      <c r="J11" s="43" t="n"/>
      <c r="K11" s="20" t="n"/>
      <c r="L11" s="21">
        <f>IF(G11="","🟡 Enter formulas",IF(G11=PROPER(TRIM(B11)),"✅ Cleaned Name!","❌ Re-check"))</f>
        <v/>
      </c>
    </row>
    <row r="12">
      <c r="A12" s="6" t="inlineStr">
        <is>
          <t>EMP-804</t>
        </is>
      </c>
      <c r="B12" s="8" t="inlineStr">
        <is>
          <t>kemi  ADELEKE</t>
        </is>
      </c>
      <c r="C12" s="8" t="inlineStr">
        <is>
          <t>Enterprise Sales</t>
        </is>
      </c>
      <c r="D12" s="6" t="inlineStr">
        <is>
          <t>2022-11-20</t>
        </is>
      </c>
      <c r="E12" s="34" t="n">
        <v>100000</v>
      </c>
      <c r="F12" s="34" t="n">
        <v>115000</v>
      </c>
      <c r="G12" s="20" t="n"/>
      <c r="H12" s="20" t="n"/>
      <c r="I12" s="20" t="n"/>
      <c r="J12" s="43" t="n"/>
      <c r="K12" s="20" t="n"/>
      <c r="L12" s="21">
        <f>IF(G12="","🟡 Enter formulas",IF(G12=PROPER(TRIM(B12)),"✅ Cleaned Name!","❌ Re-check"))</f>
        <v/>
      </c>
    </row>
    <row r="13">
      <c r="A13" s="6" t="inlineStr">
        <is>
          <t>EMP-805</t>
        </is>
      </c>
      <c r="B13" s="8" t="inlineStr">
        <is>
          <t xml:space="preserve">  emmanuel  OKON </t>
        </is>
      </c>
      <c r="C13" s="8" t="inlineStr">
        <is>
          <t>Customer Success</t>
        </is>
      </c>
      <c r="D13" s="6" t="inlineStr">
        <is>
          <t>2024-02-01</t>
        </is>
      </c>
      <c r="E13" s="34" t="n">
        <v>80000</v>
      </c>
      <c r="F13" s="34" t="n">
        <v>72000</v>
      </c>
      <c r="G13" s="20" t="n"/>
      <c r="H13" s="20" t="n"/>
      <c r="I13" s="20" t="n"/>
      <c r="J13" s="43" t="n"/>
      <c r="K13" s="20" t="n"/>
      <c r="L13" s="21">
        <f>IF(G13="","🟡 Enter formulas",IF(G13=PROPER(TRIM(B13)),"✅ Cleaned Name!","❌ Re-check"))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50" customWidth="1" min="4" max="4"/>
    <col width="48" customWidth="1" min="5" max="5"/>
  </cols>
  <sheetData>
    <row r="1">
      <c r="A1" s="12" t="inlineStr">
        <is>
          <t>⬅️ Back to Course Roadmap</t>
        </is>
      </c>
    </row>
    <row r="2">
      <c r="A2" s="1" t="inlineStr">
        <is>
          <t>🔑 MASTER FORMULA SOLUTIONS &amp; LOGIC EXPLANATIONS</t>
        </is>
      </c>
    </row>
    <row r="3">
      <c r="A3" s="2" t="inlineStr">
        <is>
          <t>All Modules | Slide Reference: All Slides</t>
        </is>
      </c>
    </row>
    <row r="4"/>
    <row r="5">
      <c r="A5" s="3" t="inlineStr">
        <is>
          <t>🎯 REAL-LIFE WORKPLACE SCENARIO &amp; OBJECTIVE:</t>
        </is>
      </c>
    </row>
    <row r="6">
      <c r="A6" s="4" t="inlineStr">
        <is>
          <t>Official instructor &amp; student reference key showing the exact optimal formula syntax for every exercise in this workbook.</t>
        </is>
      </c>
    </row>
    <row r="7"/>
    <row r="8">
      <c r="A8" s="5" t="inlineStr">
        <is>
          <t>Module / Worksheet</t>
        </is>
      </c>
      <c r="B8" s="5" t="inlineStr">
        <is>
          <t>Exercise / Field</t>
        </is>
      </c>
      <c r="C8" s="5" t="inlineStr">
        <is>
          <t>Optimal Formula</t>
        </is>
      </c>
      <c r="D8" s="5" t="inlineStr">
        <is>
          <t>Step-by-Step Logic</t>
        </is>
      </c>
      <c r="E8" s="5" t="inlineStr">
        <is>
          <t>Alternative Solution</t>
        </is>
      </c>
    </row>
    <row r="9">
      <c r="A9" s="6" t="inlineStr">
        <is>
          <t>M2_Formatting_Math</t>
        </is>
      </c>
      <c r="B9" s="8" t="inlineStr">
        <is>
          <t>Total Revenue Col F</t>
        </is>
      </c>
      <c r="C9" s="44">
        <f>D9 * E9</f>
        <v/>
      </c>
      <c r="D9" s="8" t="inlineStr">
        <is>
          <t>Multiplies Units Sold (Col D) by Unit Price (Col E)</t>
        </is>
      </c>
      <c r="E9" s="8">
        <f>PRODUCT(D9, E9)</f>
        <v/>
      </c>
    </row>
    <row r="10">
      <c r="A10" s="9" t="inlineStr">
        <is>
          <t>M2_Formatting_Math</t>
        </is>
      </c>
      <c r="B10" s="11" t="inlineStr">
        <is>
          <t>Total Gross Revenue</t>
        </is>
      </c>
      <c r="C10" s="45">
        <f>SUM(F9:F16)</f>
        <v/>
      </c>
      <c r="D10" s="11" t="inlineStr">
        <is>
          <t>Sums all line item revenues</t>
        </is>
      </c>
      <c r="E10" s="11" t="inlineStr">
        <is>
          <t>AutoSum Alt + =</t>
        </is>
      </c>
    </row>
    <row r="11">
      <c r="A11" s="6" t="inlineStr">
        <is>
          <t>M2_Formatting_Math</t>
        </is>
      </c>
      <c r="B11" s="8" t="inlineStr">
        <is>
          <t>Average Revenue</t>
        </is>
      </c>
      <c r="C11" s="44">
        <f>AVERAGE(F9:F16)</f>
        <v/>
      </c>
      <c r="D11" s="8" t="inlineStr">
        <is>
          <t>Calculates arithmetic mean</t>
        </is>
      </c>
      <c r="E11" s="8" t="inlineStr">
        <is>
          <t>None</t>
        </is>
      </c>
    </row>
    <row r="12">
      <c r="A12" s="9" t="inlineStr">
        <is>
          <t>M3_Logic_IF_AND_OR</t>
        </is>
      </c>
      <c r="B12" s="11" t="inlineStr">
        <is>
          <t>Met Target? Col I</t>
        </is>
      </c>
      <c r="C12" s="45">
        <f>IF(D9&gt;=E9, "Yes", "No")</f>
        <v/>
      </c>
      <c r="D12" s="11" t="inlineStr">
        <is>
          <t>Checks if Actual &gt;= Target. True 'Yes', False 'No'</t>
        </is>
      </c>
      <c r="E12" s="11" t="inlineStr">
        <is>
          <t>None</t>
        </is>
      </c>
    </row>
    <row r="13">
      <c r="A13" s="6" t="inlineStr">
        <is>
          <t>M3_Logic_IF_AND_OR</t>
        </is>
      </c>
      <c r="B13" s="8" t="inlineStr">
        <is>
          <t>Bonus $ Col J</t>
        </is>
      </c>
      <c r="C13" s="44">
        <f>IF(D9&gt;=E9, D9*0.05, 0)</f>
        <v/>
      </c>
      <c r="D13" s="8" t="inlineStr">
        <is>
          <t>Awards 5% commission if quota reached, else 0</t>
        </is>
      </c>
      <c r="E13" s="8">
        <f>IF(D9&gt;=E9, D9*5%, 0)</f>
        <v/>
      </c>
    </row>
    <row r="14">
      <c r="A14" s="9" t="inlineStr">
        <is>
          <t>M3_Logic_IF_AND_OR</t>
        </is>
      </c>
      <c r="B14" s="11" t="inlineStr">
        <is>
          <t>Promotion? Col K</t>
        </is>
      </c>
      <c r="C14" s="45">
        <f>IF(AND(D9&gt;=E9, F9&gt;=3), "Eligible", "Wait")</f>
        <v/>
      </c>
      <c r="D14" s="11" t="inlineStr">
        <is>
          <t>Requires BOTH Target met AND 3+ years service</t>
        </is>
      </c>
      <c r="E14" s="11" t="inlineStr">
        <is>
          <t>None</t>
        </is>
      </c>
    </row>
    <row r="15">
      <c r="A15" s="6" t="inlineStr">
        <is>
          <t>M3_Logic_IF_AND_OR</t>
        </is>
      </c>
      <c r="B15" s="8" t="inlineStr">
        <is>
          <t>Warning? Col L</t>
        </is>
      </c>
      <c r="C15" s="44">
        <f>IF(OR(G9&lt;0.85, H9&lt;3.0), "Warning", "OK")</f>
        <v/>
      </c>
      <c r="D15" s="8" t="inlineStr">
        <is>
          <t>Alerts if EITHER Attendance &lt; 85% OR Rating &lt; 3.0</t>
        </is>
      </c>
      <c r="E15" s="8" t="inlineStr">
        <is>
          <t>None</t>
        </is>
      </c>
    </row>
    <row r="16">
      <c r="A16" s="9" t="inlineStr">
        <is>
          <t>M3_Logic_IF_AND_OR</t>
        </is>
      </c>
      <c r="B16" s="11" t="inlineStr">
        <is>
          <t>Tier Col M</t>
        </is>
      </c>
      <c r="C16" s="45">
        <f>IFS(H9&gt;=4.5,"Top Talent", H9&gt;=3.5,"Good", H9&gt;=2.5,"Average", TRUE,"Needs Help")</f>
        <v/>
      </c>
      <c r="D16" s="11" t="inlineStr">
        <is>
          <t>Evaluates rating tiers in order</t>
        </is>
      </c>
      <c r="E16" s="11" t="inlineStr">
        <is>
          <t>Nested IF</t>
        </is>
      </c>
    </row>
    <row r="17">
      <c r="A17" s="6" t="inlineStr">
        <is>
          <t>M3_Text_Cleaning</t>
        </is>
      </c>
      <c r="B17" s="8" t="inlineStr">
        <is>
          <t>Clean Name Col C</t>
        </is>
      </c>
      <c r="C17" s="44">
        <f>PROPER(TRIM(A9))</f>
        <v/>
      </c>
      <c r="D17" s="8" t="inlineStr">
        <is>
          <t>TRIM eliminates extra spaces; PROPER capitalizes each word</t>
        </is>
      </c>
      <c r="E17" s="8" t="inlineStr">
        <is>
          <t>None</t>
        </is>
      </c>
    </row>
    <row r="18">
      <c r="A18" s="9" t="inlineStr">
        <is>
          <t>M3_Text_Cleaning</t>
        </is>
      </c>
      <c r="B18" s="11" t="inlineStr">
        <is>
          <t>Country Code Col D</t>
        </is>
      </c>
      <c r="C18" s="45">
        <f>LEFT(B9, 4)</f>
        <v/>
      </c>
      <c r="D18" s="11" t="inlineStr">
        <is>
          <t>Extracts first 4 characters from the left</t>
        </is>
      </c>
      <c r="E18" s="11" t="inlineStr">
        <is>
          <t>None</t>
        </is>
      </c>
    </row>
    <row r="19">
      <c r="A19" s="6" t="inlineStr">
        <is>
          <t>M5_Lookups_V_X_Index</t>
        </is>
      </c>
      <c r="B19" s="8" t="inlineStr">
        <is>
          <t>Product Name Col D</t>
        </is>
      </c>
      <c r="C19" s="44">
        <f>VLOOKUP(B20, $A$10:$E$15, 2, FALSE)</f>
        <v/>
      </c>
      <c r="D19" s="8" t="inlineStr">
        <is>
          <t>Searches Code in Catalog, returns 2nd column. FALSE = exact</t>
        </is>
      </c>
      <c r="E19" s="8">
        <f>XLOOKUP(B20, $A$10:$A$15, $B$10:$B$15)</f>
        <v/>
      </c>
    </row>
    <row r="20">
      <c r="A20" s="9" t="inlineStr">
        <is>
          <t>M5_Lookups_V_X_Index</t>
        </is>
      </c>
      <c r="B20" s="11" t="inlineStr">
        <is>
          <t>Unit Cost Col E</t>
        </is>
      </c>
      <c r="C20" s="45">
        <f>XLOOKUP(B20, $A$10:$A$15, $D$10:$D$15, "Not Found")</f>
        <v/>
      </c>
      <c r="D20" s="11" t="inlineStr">
        <is>
          <t>Modern lookup: finds code, returns cost. Handles errors</t>
        </is>
      </c>
      <c r="E20" s="11">
        <f>INDEX($D$10:$D$15, MATCH(B20,$A$10:$A$15,0))</f>
        <v/>
      </c>
    </row>
    <row r="21">
      <c r="A21" s="6" t="inlineStr">
        <is>
          <t>M5_Dates_Formatting</t>
        </is>
      </c>
      <c r="B21" s="8" t="inlineStr">
        <is>
          <t>Days Left Col E</t>
        </is>
      </c>
      <c r="C21" s="44">
        <f>D9 - TODAY()</f>
        <v/>
      </c>
      <c r="D21" s="8" t="inlineStr">
        <is>
          <t>Subtracts today's live date from target due date</t>
        </is>
      </c>
      <c r="E21" s="8" t="inlineStr">
        <is>
          <t>None</t>
        </is>
      </c>
    </row>
    <row r="22">
      <c r="A22" s="9" t="inlineStr">
        <is>
          <t>M5_Dates_Formatting</t>
        </is>
      </c>
      <c r="B22" s="11" t="inlineStr">
        <is>
          <t>Workdays Col G</t>
        </is>
      </c>
      <c r="C22" s="45">
        <f>NETWORKDAYS(C9, D9)</f>
        <v/>
      </c>
      <c r="D22" s="11" t="inlineStr">
        <is>
          <t>Calculates business days excluding weekends</t>
        </is>
      </c>
      <c r="E22" s="11" t="inlineStr">
        <is>
          <t>None</t>
        </is>
      </c>
    </row>
    <row r="23">
      <c r="A23" s="6" t="inlineStr">
        <is>
          <t>M5_COUNTIFS_SUMIFS</t>
        </is>
      </c>
      <c r="B23" s="8" t="inlineStr">
        <is>
          <t>North Laptops Count</t>
        </is>
      </c>
      <c r="C23" s="44">
        <f>COUNTIFS(B9:B16, "North", C9:C16, "Laptops")</f>
        <v/>
      </c>
      <c r="D23" s="8" t="inlineStr">
        <is>
          <t>Counts rows matching both criteria</t>
        </is>
      </c>
      <c r="E23" s="8" t="inlineStr">
        <is>
          <t>SUMPRODUCT</t>
        </is>
      </c>
    </row>
    <row r="24">
      <c r="A24" s="9" t="inlineStr">
        <is>
          <t>M5_COUNTIFS_SUMIFS</t>
        </is>
      </c>
      <c r="B24" s="11" t="inlineStr">
        <is>
          <t>North Laptops Sum</t>
        </is>
      </c>
      <c r="C24" s="45">
        <f>SUMIFS(E9:E16, B9:B16, "North", C9:C16, "Laptops")</f>
        <v/>
      </c>
      <c r="D24" s="11" t="inlineStr">
        <is>
          <t>Sums revenue where Region=North and Category=Laptops</t>
        </is>
      </c>
      <c r="E24" s="11" t="inlineStr">
        <is>
          <t>None</t>
        </is>
      </c>
    </row>
    <row r="25">
      <c r="A25" s="6" t="inlineStr">
        <is>
          <t>Capstone_Tracker</t>
        </is>
      </c>
      <c r="B25" s="8" t="inlineStr">
        <is>
          <t>Clean Name Col G</t>
        </is>
      </c>
      <c r="C25" s="44">
        <f>PROPER(TRIM(B9))</f>
        <v/>
      </c>
      <c r="D25" s="8" t="inlineStr">
        <is>
          <t>Cleans raw employee name</t>
        </is>
      </c>
      <c r="E25" s="8" t="inlineStr">
        <is>
          <t>None</t>
        </is>
      </c>
    </row>
    <row r="26">
      <c r="A26" s="9" t="inlineStr">
        <is>
          <t>Capstone_Tracker</t>
        </is>
      </c>
      <c r="B26" s="11" t="inlineStr">
        <is>
          <t>Tenure Years Col H</t>
        </is>
      </c>
      <c r="C26" s="45">
        <f>DATEDIF(D9, TODAY(), "Y")</f>
        <v/>
      </c>
      <c r="D26" s="11" t="inlineStr">
        <is>
          <t>Calculates elapsed completed years of employment</t>
        </is>
      </c>
      <c r="E26" s="11">
        <f>YEAR(TODAY())-YEAR(D9)</f>
        <v/>
      </c>
    </row>
    <row r="27">
      <c r="A27" s="6" t="inlineStr">
        <is>
          <t>Capstone_Tracker</t>
        </is>
      </c>
      <c r="B27" s="8" t="inlineStr">
        <is>
          <t>Commission $ Col J</t>
        </is>
      </c>
      <c r="C27" s="44">
        <f>IF(F9&gt;=E9, F9*0.075, 0)</f>
        <v/>
      </c>
      <c r="D27" s="8" t="inlineStr">
        <is>
          <t>Awards 7.5% commission if target met</t>
        </is>
      </c>
      <c r="E27" s="8" t="inlineStr">
        <is>
          <t>None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2026-10-05T19:52:51Z</dcterms:created>
  <dcterms:modified xmlns:dcterms="http://purl.org/dc/terms/" xmlns:xsi="http://www.w3.org/2001/XMLSchema-instance" xsi:type="dcterms:W3CDTF">2026-10-05T19:52:51Z</dcterms:modified>
</cp:coreProperties>
</file>