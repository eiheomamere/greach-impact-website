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Course Roadmap" sheetId="1" state="visible" r:id="rId1"/>
    <sheet xmlns:r="http://schemas.openxmlformats.org/officeDocument/2006/relationships" name="01_Shortcuts" sheetId="2" state="visible" r:id="rId2"/>
    <sheet xmlns:r="http://schemas.openxmlformats.org/officeDocument/2006/relationships" name="02_Mod1_Basics" sheetId="3" state="visible" r:id="rId3"/>
    <sheet xmlns:r="http://schemas.openxmlformats.org/officeDocument/2006/relationships" name="03_Mod2_Math_Formulas" sheetId="4" state="visible" r:id="rId4"/>
    <sheet xmlns:r="http://schemas.openxmlformats.org/officeDocument/2006/relationships" name="04_Mod3_Logical" sheetId="5" state="visible" r:id="rId5"/>
    <sheet xmlns:r="http://schemas.openxmlformats.org/officeDocument/2006/relationships" name="05_Mod3_Text_Cleaning" sheetId="6" state="visible" r:id="rId6"/>
    <sheet xmlns:r="http://schemas.openxmlformats.org/officeDocument/2006/relationships" name="06_Mod4_Tables_Validation" sheetId="7" state="visible" r:id="rId7"/>
    <sheet xmlns:r="http://schemas.openxmlformats.org/officeDocument/2006/relationships" name="07_Mod5_VLOOKUP_XLOOKUP" sheetId="8" state="visible" r:id="rId8"/>
    <sheet xmlns:r="http://schemas.openxmlformats.org/officeDocument/2006/relationships" name="08_Mod5_Dates_Formatting" sheetId="9" state="visible" r:id="rId9"/>
    <sheet xmlns:r="http://schemas.openxmlformats.org/officeDocument/2006/relationships" name="09_Mod6_Pivot_Data" sheetId="10" state="visible" r:id="rId10"/>
    <sheet xmlns:r="http://schemas.openxmlformats.org/officeDocument/2006/relationships" name="10_Mod6_Dashboard" sheetId="11" state="visible" r:id="rId11"/>
    <sheet xmlns:r="http://schemas.openxmlformats.org/officeDocument/2006/relationships" name="11_Final_Capstone" sheetId="12" state="visible" r:id="rId12"/>
    <sheet xmlns:r="http://schemas.openxmlformats.org/officeDocument/2006/relationships" name="12_Master_Solu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A607A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004B87"/>
      <sz val="10"/>
      <u val="single"/>
    </font>
    <font>
      <name val="Segoe UI"/>
      <b val="1"/>
      <color rgb="00004B87"/>
      <sz val="9"/>
      <u val="single"/>
    </font>
    <font>
      <name val="Segoe UI"/>
      <b val="1"/>
      <color rgb="001B365D"/>
      <sz val="12"/>
    </font>
    <font>
      <name val="Segoe UI"/>
      <i val="1"/>
      <color rgb="00666666"/>
      <sz val="9"/>
    </font>
    <font>
      <name val="Consolas"/>
      <color rgb="001B365D"/>
      <sz val="9"/>
    </font>
    <font>
      <name val="Segoe UI"/>
      <b val="1"/>
      <color rgb="00666666"/>
      <sz val="9"/>
    </font>
    <font>
      <name val="Segoe UI"/>
      <b val="1"/>
      <color rgb="001B365D"/>
      <sz val="18"/>
    </font>
    <font>
      <name val="Segoe UI"/>
      <i val="1"/>
      <color rgb="00888888"/>
      <sz val="8"/>
    </font>
    <font>
      <name val="Segoe UI"/>
      <b val="1"/>
      <color rgb="004A607A"/>
      <sz val="11"/>
    </font>
    <font>
      <name val="Consolas"/>
      <b val="1"/>
      <color rgb="001B365D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8E7"/>
        <bgColor rgb="00FFF8E7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10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66" fontId="0" fillId="3" borderId="1" pivotButton="0" quotePrefix="0" xfId="0"/>
    <xf numFmtId="166" fontId="0" fillId="0" borderId="1" pivotButton="0" quotePrefix="0" xfId="0"/>
    <xf numFmtId="0" fontId="11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Shortcuts'!A1" TargetMode="External" Id="rId1"/><Relationship Type="http://schemas.openxmlformats.org/officeDocument/2006/relationships/hyperlink" Target="#'02_Mod1_Basics'!A1" TargetMode="External" Id="rId2"/><Relationship Type="http://schemas.openxmlformats.org/officeDocument/2006/relationships/hyperlink" Target="#'03_Mod2_Math_Formulas'!A1" TargetMode="External" Id="rId3"/><Relationship Type="http://schemas.openxmlformats.org/officeDocument/2006/relationships/hyperlink" Target="#'04_Mod3_Logical'!A1" TargetMode="External" Id="rId4"/><Relationship Type="http://schemas.openxmlformats.org/officeDocument/2006/relationships/hyperlink" Target="#'05_Mod3_Text_Cleaning'!A1" TargetMode="External" Id="rId5"/><Relationship Type="http://schemas.openxmlformats.org/officeDocument/2006/relationships/hyperlink" Target="#'06_Mod4_Tables_Validation'!A1" TargetMode="External" Id="rId6"/><Relationship Type="http://schemas.openxmlformats.org/officeDocument/2006/relationships/hyperlink" Target="#'07_Mod5_VLOOKUP_XLOOKUP'!A1" TargetMode="External" Id="rId7"/><Relationship Type="http://schemas.openxmlformats.org/officeDocument/2006/relationships/hyperlink" Target="#'08_Mod5_Dates_Formatting'!A1" TargetMode="External" Id="rId8"/><Relationship Type="http://schemas.openxmlformats.org/officeDocument/2006/relationships/hyperlink" Target="#'09_Mod6_Pivot_Data'!A1" TargetMode="External" Id="rId9"/><Relationship Type="http://schemas.openxmlformats.org/officeDocument/2006/relationships/hyperlink" Target="#'10_Mod6_Dashboard'!A1" TargetMode="External" Id="rId10"/><Relationship Type="http://schemas.openxmlformats.org/officeDocument/2006/relationships/hyperlink" Target="#'11_Final_Capstone'!A1" TargetMode="External" Id="rId11"/><Relationship Type="http://schemas.openxmlformats.org/officeDocument/2006/relationships/hyperlink" Target="#'12_Master_Solutions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5" customWidth="1" min="3" max="3"/>
    <col width="55" customWidth="1" min="4" max="4"/>
    <col width="16" customWidth="1" min="5" max="5"/>
    <col width="16" customWidth="1" min="6" max="6"/>
  </cols>
  <sheetData>
    <row r="1"/>
    <row r="2">
      <c r="B2" s="1" t="inlineStr">
        <is>
          <t>🎓 MICROSOFT EXCEL MASTERCLASS</t>
        </is>
      </c>
    </row>
    <row r="3">
      <c r="B3" s="2" t="inlineStr">
        <is>
          <t>Official Guided Student Practice Workbook | Powered by Greach Impact</t>
        </is>
      </c>
    </row>
    <row r="4"/>
    <row r="5">
      <c r="B5" s="3" t="inlineStr">
        <is>
          <t>👋 Welcome, Future Excel Master!</t>
        </is>
      </c>
    </row>
    <row r="6">
      <c r="B6" s="4" t="inlineStr">
        <is>
          <t>This workbook is your interactive companion throughout the course. Each worksheet corresponds to a specific module.</t>
        </is>
      </c>
    </row>
    <row r="7">
      <c r="B7" s="3" t="inlineStr">
        <is>
          <t>✨ How to Use This Workbook:</t>
        </is>
      </c>
    </row>
    <row r="8">
      <c r="B8" s="4" t="inlineStr">
        <is>
          <t>1. Follow along with your instructor or the interactive slides in 'Excel Class.html'.</t>
        </is>
      </c>
    </row>
    <row r="9">
      <c r="B9" s="4" t="inlineStr">
        <is>
          <t>2. Look for the pale-yellow columns marked 🟡 [STUDENT PRACTICE] — that's where you type your formulas.</t>
        </is>
      </c>
    </row>
    <row r="10">
      <c r="B10" s="4" t="inlineStr">
        <is>
          <t>3. Look for the green columns marked 🟢 [VALIDATION CHECK] — Excel will automatically verify if your formula is correct!</t>
        </is>
      </c>
    </row>
    <row r="11">
      <c r="B11" s="4" t="inlineStr">
        <is>
          <t>4. If you get stuck, check the 🔑 Solutions sheet at the end for full formula breakdowns.</t>
        </is>
      </c>
    </row>
    <row r="12">
      <c r="B12" s="5" t="inlineStr">
        <is>
          <t>Module</t>
        </is>
      </c>
      <c r="C12" s="5" t="inlineStr">
        <is>
          <t>Sheet Name</t>
        </is>
      </c>
      <c r="D12" s="5" t="inlineStr">
        <is>
          <t>Topic &amp; Focus Skills</t>
        </is>
      </c>
      <c r="E12" s="5" t="inlineStr">
        <is>
          <t>Difficulty</t>
        </is>
      </c>
      <c r="F12" s="5" t="inlineStr">
        <is>
          <t>Your Status</t>
        </is>
      </c>
    </row>
    <row r="13">
      <c r="B13" s="6" t="inlineStr">
        <is>
          <t>Reference</t>
        </is>
      </c>
      <c r="C13" s="7" t="inlineStr">
        <is>
          <t>01_Shortcuts</t>
        </is>
      </c>
      <c r="D13" s="8" t="inlineStr">
        <is>
          <t>Top 30 Time-Saving Shortcuts &amp; Keystroke Drills</t>
        </is>
      </c>
      <c r="E13" s="6" t="inlineStr">
        <is>
          <t>All Levels</t>
        </is>
      </c>
      <c r="F13" s="6" t="inlineStr">
        <is>
          <t>Ready</t>
        </is>
      </c>
    </row>
    <row r="14">
      <c r="B14" s="9" t="inlineStr">
        <is>
          <t>Module 1</t>
        </is>
      </c>
      <c r="C14" s="10" t="inlineStr">
        <is>
          <t>02_Mod1_Basics</t>
        </is>
      </c>
      <c r="D14" s="11" t="inlineStr">
        <is>
          <t>Excel Interface, Navigation, Data Types, Freeze Panes</t>
        </is>
      </c>
      <c r="E14" s="9" t="inlineStr">
        <is>
          <t>Beginner</t>
        </is>
      </c>
      <c r="F14" s="9" t="inlineStr">
        <is>
          <t>Not Started</t>
        </is>
      </c>
    </row>
    <row r="15">
      <c r="B15" s="6" t="inlineStr">
        <is>
          <t>Module 2</t>
        </is>
      </c>
      <c r="C15" s="7" t="inlineStr">
        <is>
          <t>03_Mod2_Math_Formulas</t>
        </is>
      </c>
      <c r="D15" s="8" t="inlineStr">
        <is>
          <t>Math Operators, SUM, AVERAGE, MIN, MAX, COUNT, AutoSum</t>
        </is>
      </c>
      <c r="E15" s="6" t="inlineStr">
        <is>
          <t>Beginner</t>
        </is>
      </c>
      <c r="F15" s="6" t="inlineStr">
        <is>
          <t>Not Started</t>
        </is>
      </c>
    </row>
    <row r="16">
      <c r="B16" s="9" t="inlineStr">
        <is>
          <t>Module 3</t>
        </is>
      </c>
      <c r="C16" s="10" t="inlineStr">
        <is>
          <t>04_Mod3_Logical</t>
        </is>
      </c>
      <c r="D16" s="11" t="inlineStr">
        <is>
          <t>IF, Nested IF, AND, OR, NOT, IFERROR, IFS</t>
        </is>
      </c>
      <c r="E16" s="9" t="inlineStr">
        <is>
          <t>Intermediate</t>
        </is>
      </c>
      <c r="F16" s="9" t="inlineStr">
        <is>
          <t>Not Started</t>
        </is>
      </c>
    </row>
    <row r="17">
      <c r="B17" s="6" t="inlineStr">
        <is>
          <t>Module 3</t>
        </is>
      </c>
      <c r="C17" s="7" t="inlineStr">
        <is>
          <t>05_Mod3_Text_Cleaning</t>
        </is>
      </c>
      <c r="D17" s="8" t="inlineStr">
        <is>
          <t>TRIM, PROPER, UPPER, LOWER, LEFT, RIGHT, MID, CONCAT</t>
        </is>
      </c>
      <c r="E17" s="6" t="inlineStr">
        <is>
          <t>Intermediate</t>
        </is>
      </c>
      <c r="F17" s="6" t="inlineStr">
        <is>
          <t>Not Started</t>
        </is>
      </c>
    </row>
    <row r="18">
      <c r="B18" s="9" t="inlineStr">
        <is>
          <t>Module 4</t>
        </is>
      </c>
      <c r="C18" s="10" t="inlineStr">
        <is>
          <t>06_Mod4_Tables_Validation</t>
        </is>
      </c>
      <c r="D18" s="11" t="inlineStr">
        <is>
          <t>Excel Tables (Ctrl+T), Remove Duplicates, Dropdown Lists</t>
        </is>
      </c>
      <c r="E18" s="9" t="inlineStr">
        <is>
          <t>Intermediate</t>
        </is>
      </c>
      <c r="F18" s="9" t="inlineStr">
        <is>
          <t>Not Started</t>
        </is>
      </c>
    </row>
    <row r="19">
      <c r="B19" s="6" t="inlineStr">
        <is>
          <t>Module 5</t>
        </is>
      </c>
      <c r="C19" s="7" t="inlineStr">
        <is>
          <t>07_Mod5_VLOOKUP_XLOOKUP</t>
        </is>
      </c>
      <c r="D19" s="8" t="inlineStr">
        <is>
          <t>VLOOKUP, HLOOKUP, XLOOKUP, INDEX &amp; MATCH</t>
        </is>
      </c>
      <c r="E19" s="6" t="inlineStr">
        <is>
          <t>Advanced</t>
        </is>
      </c>
      <c r="F19" s="6" t="inlineStr">
        <is>
          <t>Not Started</t>
        </is>
      </c>
    </row>
    <row r="20">
      <c r="B20" s="9" t="inlineStr">
        <is>
          <t>Module 5</t>
        </is>
      </c>
      <c r="C20" s="10" t="inlineStr">
        <is>
          <t>08_Mod5_Dates_Formatting</t>
        </is>
      </c>
      <c r="D20" s="11" t="inlineStr">
        <is>
          <t>TODAY, NOW, DATEDIF, Date Math, Conditional Formatting</t>
        </is>
      </c>
      <c r="E20" s="9" t="inlineStr">
        <is>
          <t>Advanced</t>
        </is>
      </c>
      <c r="F20" s="9" t="inlineStr">
        <is>
          <t>Not Started</t>
        </is>
      </c>
    </row>
    <row r="21">
      <c r="B21" s="6" t="inlineStr">
        <is>
          <t>Module 6</t>
        </is>
      </c>
      <c r="C21" s="7" t="inlineStr">
        <is>
          <t>09_Mod6_Pivot_Data</t>
        </is>
      </c>
      <c r="D21" s="8" t="inlineStr">
        <is>
          <t>Raw Transaction Dataset (100+ Rows) for Pivot Tables</t>
        </is>
      </c>
      <c r="E21" s="6" t="inlineStr">
        <is>
          <t>Advanced</t>
        </is>
      </c>
      <c r="F21" s="6" t="inlineStr">
        <is>
          <t>Not Started</t>
        </is>
      </c>
    </row>
    <row r="22">
      <c r="B22" s="9" t="inlineStr">
        <is>
          <t>Module 6</t>
        </is>
      </c>
      <c r="C22" s="10" t="inlineStr">
        <is>
          <t>10_Mod6_Dashboard</t>
        </is>
      </c>
      <c r="D22" s="11" t="inlineStr">
        <is>
          <t>Mini Dashboard Template, KPI Summary Cards, Slicers</t>
        </is>
      </c>
      <c r="E22" s="9" t="inlineStr">
        <is>
          <t>Advanced</t>
        </is>
      </c>
      <c r="F22" s="9" t="inlineStr">
        <is>
          <t>Not Started</t>
        </is>
      </c>
    </row>
    <row r="23">
      <c r="B23" s="6" t="inlineStr">
        <is>
          <t>Capstone</t>
        </is>
      </c>
      <c r="C23" s="7" t="inlineStr">
        <is>
          <t>11_Final_Capstone</t>
        </is>
      </c>
      <c r="D23" s="8" t="inlineStr">
        <is>
          <t>Employee Performance &amp; Compensation Master Tracker</t>
        </is>
      </c>
      <c r="E23" s="6" t="inlineStr">
        <is>
          <t>Mastery</t>
        </is>
      </c>
      <c r="F23" s="6" t="inlineStr">
        <is>
          <t>Not Started</t>
        </is>
      </c>
    </row>
    <row r="24">
      <c r="B24" s="9" t="inlineStr">
        <is>
          <t>Solutions</t>
        </is>
      </c>
      <c r="C24" s="10" t="inlineStr">
        <is>
          <t>12_Master_Solutions</t>
        </is>
      </c>
      <c r="D24" s="11" t="inlineStr">
        <is>
          <t>Complete Answer Keys, Formulas &amp; Step-by-Step Explanations</t>
        </is>
      </c>
      <c r="E24" s="9" t="inlineStr">
        <is>
          <t>All Levels</t>
        </is>
      </c>
      <c r="F24" s="9" t="inlineStr">
        <is>
          <t>Reference</t>
        </is>
      </c>
    </row>
  </sheetData>
  <hyperlinks>
    <hyperlink xmlns:r="http://schemas.openxmlformats.org/officeDocument/2006/relationships" ref="C13" r:id="rId1"/>
    <hyperlink xmlns:r="http://schemas.openxmlformats.org/officeDocument/2006/relationships" ref="C14" r:id="rId2"/>
    <hyperlink xmlns:r="http://schemas.openxmlformats.org/officeDocument/2006/relationships" ref="C15" r:id="rId3"/>
    <hyperlink xmlns:r="http://schemas.openxmlformats.org/officeDocument/2006/relationships" ref="C16" r:id="rId4"/>
    <hyperlink xmlns:r="http://schemas.openxmlformats.org/officeDocument/2006/relationships" ref="C17" r:id="rId5"/>
    <hyperlink xmlns:r="http://schemas.openxmlformats.org/officeDocument/2006/relationships" ref="C18" r:id="rId6"/>
    <hyperlink xmlns:r="http://schemas.openxmlformats.org/officeDocument/2006/relationships" ref="C19" r:id="rId7"/>
    <hyperlink xmlns:r="http://schemas.openxmlformats.org/officeDocument/2006/relationships" ref="C20" r:id="rId8"/>
    <hyperlink xmlns:r="http://schemas.openxmlformats.org/officeDocument/2006/relationships" ref="C21" r:id="rId9"/>
    <hyperlink xmlns:r="http://schemas.openxmlformats.org/officeDocument/2006/relationships" ref="C22" r:id="rId10"/>
    <hyperlink xmlns:r="http://schemas.openxmlformats.org/officeDocument/2006/relationships" ref="C23" r:id="rId11"/>
    <hyperlink xmlns:r="http://schemas.openxmlformats.org/officeDocument/2006/relationships" ref="C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45" customWidth="1" min="4" max="4"/>
    <col width="45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⌨️ TOP 30 TIME-SAVING EXCEL SHORTCUTS</t>
        </is>
      </c>
    </row>
    <row r="3">
      <c r="A3" s="2" t="inlineStr">
        <is>
          <t>Module Focus: All Modules | Guided Practical Lab</t>
        </is>
      </c>
    </row>
    <row r="4"/>
    <row r="5">
      <c r="A5" s="5" t="inlineStr">
        <is>
          <t>Category</t>
        </is>
      </c>
      <c r="B5" s="5" t="inlineStr">
        <is>
          <t>Shortcut Key</t>
        </is>
      </c>
      <c r="C5" s="5" t="inlineStr">
        <is>
          <t>Action Performed</t>
        </is>
      </c>
      <c r="D5" s="5" t="inlineStr">
        <is>
          <t>Why It Saves Time</t>
        </is>
      </c>
      <c r="E5" s="5" t="inlineStr">
        <is>
          <t>Practice Drill</t>
        </is>
      </c>
    </row>
    <row r="6">
      <c r="A6" s="13" t="inlineStr">
        <is>
          <t>Navigation</t>
        </is>
      </c>
      <c r="B6" s="14" t="inlineStr">
        <is>
          <t>Ctrl + Arrow Keys</t>
        </is>
      </c>
      <c r="C6" s="15" t="inlineStr">
        <is>
          <t>Jump to the extreme edge of data in that direction</t>
        </is>
      </c>
      <c r="D6" s="15" t="inlineStr">
        <is>
          <t>Navigates 100,000 rows in 0.1s without scrolling</t>
        </is>
      </c>
      <c r="E6" s="15" t="inlineStr">
        <is>
          <t>Try pressing Ctrl + Down from A6</t>
        </is>
      </c>
    </row>
    <row r="7">
      <c r="A7" s="16" t="inlineStr">
        <is>
          <t>Navigation</t>
        </is>
      </c>
      <c r="B7" s="17" t="inlineStr">
        <is>
          <t>Ctrl + Home</t>
        </is>
      </c>
      <c r="C7" s="18" t="inlineStr">
        <is>
          <t>Jump instantly to cell A1</t>
        </is>
      </c>
      <c r="D7" s="18" t="inlineStr">
        <is>
          <t>Instantly resets your view at any time</t>
        </is>
      </c>
      <c r="E7" s="18" t="inlineStr">
        <is>
          <t>Press Ctrl + Home from any sheet</t>
        </is>
      </c>
    </row>
    <row r="8">
      <c r="A8" s="13" t="inlineStr">
        <is>
          <t>Navigation</t>
        </is>
      </c>
      <c r="B8" s="14" t="inlineStr">
        <is>
          <t>Ctrl + End</t>
        </is>
      </c>
      <c r="C8" s="15" t="inlineStr">
        <is>
          <t>Jump to the very last used cell in the worksheet</t>
        </is>
      </c>
      <c r="D8" s="15" t="inlineStr">
        <is>
          <t>Detects phantom blank rows at the bottom</t>
        </is>
      </c>
      <c r="E8" s="15" t="inlineStr">
        <is>
          <t>Press Ctrl + End to find data boundaries</t>
        </is>
      </c>
    </row>
    <row r="9">
      <c r="A9" s="16" t="inlineStr">
        <is>
          <t>Selection</t>
        </is>
      </c>
      <c r="B9" s="17" t="inlineStr">
        <is>
          <t>Ctrl + Shift + Arrow</t>
        </is>
      </c>
      <c r="C9" s="18" t="inlineStr">
        <is>
          <t>Select all cells from current cell to edge of data</t>
        </is>
      </c>
      <c r="D9" s="18" t="inlineStr">
        <is>
          <t>Selects whole columns without mouse dragging</t>
        </is>
      </c>
      <c r="E9" s="18" t="inlineStr">
        <is>
          <t>Select column A using Ctrl + Shift + Down</t>
        </is>
      </c>
    </row>
    <row r="10">
      <c r="A10" s="13" t="inlineStr">
        <is>
          <t>Selection</t>
        </is>
      </c>
      <c r="B10" s="14" t="inlineStr">
        <is>
          <t>Ctrl + Space</t>
        </is>
      </c>
      <c r="C10" s="15" t="inlineStr">
        <is>
          <t>Select the entire column of current cell</t>
        </is>
      </c>
      <c r="D10" s="15" t="inlineStr">
        <is>
          <t>Formats or deletes an entire column instantly</t>
        </is>
      </c>
      <c r="E10" s="15" t="inlineStr">
        <is>
          <t>Click any cell and press Ctrl + Space</t>
        </is>
      </c>
    </row>
    <row r="11">
      <c r="A11" s="16" t="inlineStr">
        <is>
          <t>Selection</t>
        </is>
      </c>
      <c r="B11" s="17" t="inlineStr">
        <is>
          <t>Shift + Space</t>
        </is>
      </c>
      <c r="C11" s="18" t="inlineStr">
        <is>
          <t>Select the entire row of current cell</t>
        </is>
      </c>
      <c r="D11" s="18" t="inlineStr">
        <is>
          <t>Formats or highlights an entire row instantly</t>
        </is>
      </c>
      <c r="E11" s="18" t="inlineStr">
        <is>
          <t>Click any cell and press Shift + Space</t>
        </is>
      </c>
    </row>
    <row r="12">
      <c r="A12" s="13" t="inlineStr">
        <is>
          <t>Selection</t>
        </is>
      </c>
      <c r="B12" s="14" t="inlineStr">
        <is>
          <t>Ctrl + A</t>
        </is>
      </c>
      <c r="C12" s="15" t="inlineStr">
        <is>
          <t>Select all data in the active region / whole sheet</t>
        </is>
      </c>
      <c r="D12" s="15" t="inlineStr">
        <is>
          <t>Prepares data for tables or formatting in 1 tap</t>
        </is>
      </c>
      <c r="E12" s="15" t="inlineStr">
        <is>
          <t>Press Ctrl + A inside a data block</t>
        </is>
      </c>
    </row>
    <row r="13">
      <c r="A13" s="16" t="inlineStr">
        <is>
          <t>Editing</t>
        </is>
      </c>
      <c r="B13" s="17" t="inlineStr">
        <is>
          <t>F2</t>
        </is>
      </c>
      <c r="C13" s="18" t="inlineStr">
        <is>
          <t>Edit the active cell directly (cursor in formula bar/cell)</t>
        </is>
      </c>
      <c r="D13" s="18" t="inlineStr">
        <is>
          <t>Prevents accidentally typing over existing data</t>
        </is>
      </c>
      <c r="E13" s="18" t="inlineStr">
        <is>
          <t>Press F2 on cell with formula to inspect</t>
        </is>
      </c>
    </row>
    <row r="14">
      <c r="A14" s="13" t="inlineStr">
        <is>
          <t>Editing</t>
        </is>
      </c>
      <c r="B14" s="14" t="inlineStr">
        <is>
          <t>Ctrl + Z / Ctrl + Y</t>
        </is>
      </c>
      <c r="C14" s="15" t="inlineStr">
        <is>
          <t>Undo last action / Redo last action</t>
        </is>
      </c>
      <c r="D14" s="15" t="inlineStr">
        <is>
          <t>Safety net for all accidental deletions or moves</t>
        </is>
      </c>
      <c r="E14" s="15" t="inlineStr">
        <is>
          <t>Delete something and press Ctrl + Z to revive</t>
        </is>
      </c>
    </row>
    <row r="15">
      <c r="A15" s="16" t="inlineStr">
        <is>
          <t>Editing</t>
        </is>
      </c>
      <c r="B15" s="17" t="inlineStr">
        <is>
          <t>Ctrl + C / Ctrl + V</t>
        </is>
      </c>
      <c r="C15" s="18" t="inlineStr">
        <is>
          <t>Copy / Paste selected cells</t>
        </is>
      </c>
      <c r="D15" s="18" t="inlineStr">
        <is>
          <t>Fundamental clipboard commands</t>
        </is>
      </c>
      <c r="E15" s="18" t="inlineStr">
        <is>
          <t>Copy formula down</t>
        </is>
      </c>
    </row>
    <row r="16">
      <c r="A16" s="13" t="inlineStr">
        <is>
          <t>Editing</t>
        </is>
      </c>
      <c r="B16" s="14" t="inlineStr">
        <is>
          <t>Ctrl + D</t>
        </is>
      </c>
      <c r="C16" s="15" t="inlineStr">
        <is>
          <t>Fill Down (duplicates the cell above down into selection)</t>
        </is>
      </c>
      <c r="D16" s="15" t="inlineStr">
        <is>
          <t>5x faster than copy-paste for rows below</t>
        </is>
      </c>
      <c r="E16" s="15" t="inlineStr">
        <is>
          <t>Select cell and cell below, press Ctrl + D</t>
        </is>
      </c>
    </row>
    <row r="17">
      <c r="A17" s="16" t="inlineStr">
        <is>
          <t>Editing</t>
        </is>
      </c>
      <c r="B17" s="17" t="inlineStr">
        <is>
          <t>Ctrl + R</t>
        </is>
      </c>
      <c r="C17" s="18" t="inlineStr">
        <is>
          <t>Fill Right (duplicates the cell to the left into selection)</t>
        </is>
      </c>
      <c r="D17" s="18" t="inlineStr">
        <is>
          <t>Copies formulas horizontally in seconds</t>
        </is>
      </c>
      <c r="E17" s="18" t="inlineStr">
        <is>
          <t>Select cell and cell right, press Ctrl + R</t>
        </is>
      </c>
    </row>
    <row r="18">
      <c r="A18" s="13" t="inlineStr">
        <is>
          <t>Editing</t>
        </is>
      </c>
      <c r="B18" s="14" t="inlineStr">
        <is>
          <t>Alt + Enter</t>
        </is>
      </c>
      <c r="C18" s="15" t="inlineStr">
        <is>
          <t>Insert a line break inside the same cell</t>
        </is>
      </c>
      <c r="D18" s="15" t="inlineStr">
        <is>
          <t>Creates neat multi-line headers or addresses</t>
        </is>
      </c>
      <c r="E18" s="15" t="inlineStr">
        <is>
          <t>Type 'Line 1', Alt+Enter, 'Line 2'</t>
        </is>
      </c>
    </row>
    <row r="19">
      <c r="A19" s="16" t="inlineStr">
        <is>
          <t>Formulas</t>
        </is>
      </c>
      <c r="B19" s="17" t="inlineStr">
        <is>
          <t>=</t>
        </is>
      </c>
      <c r="C19" s="18" t="inlineStr">
        <is>
          <t>Start entering a formula</t>
        </is>
      </c>
      <c r="D19" s="18" t="inlineStr">
        <is>
          <t>Every formula must begin with this sign</t>
        </is>
      </c>
      <c r="E19" s="18" t="inlineStr">
        <is>
          <t>Type =SUM(A1:A5)</t>
        </is>
      </c>
    </row>
    <row r="20">
      <c r="A20" s="13" t="inlineStr">
        <is>
          <t>Formulas</t>
        </is>
      </c>
      <c r="B20" s="14" t="inlineStr">
        <is>
          <t>Alt + =</t>
        </is>
      </c>
      <c r="C20" s="15" t="inlineStr">
        <is>
          <t>AutoSum (automatically writes =SUM() for adjacent range)</t>
        </is>
      </c>
      <c r="D20" s="15" t="inlineStr">
        <is>
          <t>Inserts complete SUM formula in 0.5 seconds</t>
        </is>
      </c>
      <c r="E20" s="15" t="inlineStr">
        <is>
          <t>Place cursor below numbers, press Alt + =</t>
        </is>
      </c>
    </row>
    <row r="21">
      <c r="A21" s="16" t="inlineStr">
        <is>
          <t>Formulas</t>
        </is>
      </c>
      <c r="B21" s="17" t="inlineStr">
        <is>
          <t>F4</t>
        </is>
      </c>
      <c r="C21" s="18" t="inlineStr">
        <is>
          <t>Cycle absolute / relative cell reference ($A$1, A$1, $A1, A1)</t>
        </is>
      </c>
      <c r="D21" s="18" t="inlineStr">
        <is>
          <t>Locks cell references so formulas copy properly</t>
        </is>
      </c>
      <c r="E21" s="18" t="inlineStr">
        <is>
          <t>In formula bar, click reference and press F4</t>
        </is>
      </c>
    </row>
    <row r="22">
      <c r="A22" s="13" t="inlineStr">
        <is>
          <t>Formulas</t>
        </is>
      </c>
      <c r="B22" s="14" t="inlineStr">
        <is>
          <t>Ctrl + ` (tilde)</t>
        </is>
      </c>
      <c r="C22" s="15" t="inlineStr">
        <is>
          <t>Toggle between showing cell values and formula text</t>
        </is>
      </c>
      <c r="D22" s="15" t="inlineStr">
        <is>
          <t>Audits entire spreadsheet formulas at a glance</t>
        </is>
      </c>
      <c r="E22" s="15" t="inlineStr">
        <is>
          <t>Press Ctrl + ` to see underlying formulas</t>
        </is>
      </c>
    </row>
    <row r="23">
      <c r="A23" s="16" t="inlineStr">
        <is>
          <t>Formatting</t>
        </is>
      </c>
      <c r="B23" s="17" t="inlineStr">
        <is>
          <t>Ctrl + 1</t>
        </is>
      </c>
      <c r="C23" s="18" t="inlineStr">
        <is>
          <t>Open Format Cells dialog box</t>
        </is>
      </c>
      <c r="D23" s="18" t="inlineStr">
        <is>
          <t>Access custom numbers, alignments, borders, fills</t>
        </is>
      </c>
      <c r="E23" s="18" t="inlineStr">
        <is>
          <t>Press Ctrl + 1 to inspect number format</t>
        </is>
      </c>
    </row>
    <row r="24">
      <c r="A24" s="13" t="inlineStr">
        <is>
          <t>Formatting</t>
        </is>
      </c>
      <c r="B24" s="14" t="inlineStr">
        <is>
          <t>Ctrl + B / I / U</t>
        </is>
      </c>
      <c r="C24" s="15" t="inlineStr">
        <is>
          <t>Toggle Bold / Italic / Underline</t>
        </is>
      </c>
      <c r="D24" s="15" t="inlineStr">
        <is>
          <t>Quick typography formatting</t>
        </is>
      </c>
      <c r="E24" s="15" t="inlineStr">
        <is>
          <t>Highlight headers and press Ctrl + B</t>
        </is>
      </c>
    </row>
    <row r="25">
      <c r="A25" s="16" t="inlineStr">
        <is>
          <t>Formatting</t>
        </is>
      </c>
      <c r="B25" s="17" t="inlineStr">
        <is>
          <t>Ctrl + Shift + $</t>
        </is>
      </c>
      <c r="C25" s="18" t="inlineStr">
        <is>
          <t>Apply Currency format ($#,##0.00)</t>
        </is>
      </c>
      <c r="D25" s="18" t="inlineStr">
        <is>
          <t>Formats sales numbers with 2 decimal places</t>
        </is>
      </c>
      <c r="E25" s="18" t="inlineStr">
        <is>
          <t>Select numbers and press Ctrl+Shift+$</t>
        </is>
      </c>
    </row>
    <row r="26">
      <c r="A26" s="13" t="inlineStr">
        <is>
          <t>Formatting</t>
        </is>
      </c>
      <c r="B26" s="14" t="inlineStr">
        <is>
          <t>Ctrl + Shift + %</t>
        </is>
      </c>
      <c r="C26" s="15" t="inlineStr">
        <is>
          <t>Apply Percentage format (0%)</t>
        </is>
      </c>
      <c r="D26" s="15" t="inlineStr">
        <is>
          <t>Converts 0.15 to 15% immediately</t>
        </is>
      </c>
      <c r="E26" s="15" t="inlineStr">
        <is>
          <t>Select decimals and press Ctrl+Shift+%</t>
        </is>
      </c>
    </row>
    <row r="27">
      <c r="A27" s="16" t="inlineStr">
        <is>
          <t>Data Tools</t>
        </is>
      </c>
      <c r="B27" s="17" t="inlineStr">
        <is>
          <t>Ctrl + T</t>
        </is>
      </c>
      <c r="C27" s="18" t="inlineStr">
        <is>
          <t>Convert selected range into an official Excel Table</t>
        </is>
      </c>
      <c r="D27" s="18" t="inlineStr">
        <is>
          <t>Enables auto-expanding ranges and banding</t>
        </is>
      </c>
      <c r="E27" s="18" t="inlineStr">
        <is>
          <t>Select data and press Ctrl + T</t>
        </is>
      </c>
    </row>
    <row r="28">
      <c r="A28" s="13" t="inlineStr">
        <is>
          <t>Data Tools</t>
        </is>
      </c>
      <c r="B28" s="14" t="inlineStr">
        <is>
          <t>Ctrl + Shift + L</t>
        </is>
      </c>
      <c r="C28" s="15" t="inlineStr">
        <is>
          <t>Toggle Filter buttons on/off on header row</t>
        </is>
      </c>
      <c r="D28" s="15" t="inlineStr">
        <is>
          <t>Filters data without touching Data tab</t>
        </is>
      </c>
      <c r="E28" s="15" t="inlineStr">
        <is>
          <t>Select header row, press Ctrl+Shift+L</t>
        </is>
      </c>
    </row>
    <row r="29">
      <c r="A29" s="16" t="inlineStr">
        <is>
          <t>Data Tools</t>
        </is>
      </c>
      <c r="B29" s="17" t="inlineStr">
        <is>
          <t>Alt + Down Arrow</t>
        </is>
      </c>
      <c r="C29" s="18" t="inlineStr">
        <is>
          <t>Open the Filter dropdown menu for active header cell</t>
        </is>
      </c>
      <c r="D29" s="18" t="inlineStr">
        <is>
          <t>Filter columns entirely using keyboard</t>
        </is>
      </c>
      <c r="E29" s="18" t="inlineStr">
        <is>
          <t>Navigate to filter icon, press Alt+Down</t>
        </is>
      </c>
    </row>
    <row r="30">
      <c r="A30" s="13" t="inlineStr">
        <is>
          <t>Data Tools</t>
        </is>
      </c>
      <c r="B30" s="14" t="inlineStr">
        <is>
          <t>Ctrl + H</t>
        </is>
      </c>
      <c r="C30" s="15" t="inlineStr">
        <is>
          <t>Open Find &amp; Replace dialog</t>
        </is>
      </c>
      <c r="D30" s="15" t="inlineStr">
        <is>
          <t>Bulk fix text, dates, or symbols</t>
        </is>
      </c>
      <c r="E30" s="15" t="inlineStr">
        <is>
          <t>Press Ctrl + H to replace abbreviations</t>
        </is>
      </c>
    </row>
    <row r="31">
      <c r="A31" s="16" t="inlineStr">
        <is>
          <t>Data Tools</t>
        </is>
      </c>
      <c r="B31" s="17" t="inlineStr">
        <is>
          <t>Ctrl + Q</t>
        </is>
      </c>
      <c r="C31" s="18" t="inlineStr">
        <is>
          <t>Open Quick Analysis tool for selected data</t>
        </is>
      </c>
      <c r="D31" s="18" t="inlineStr">
        <is>
          <t>Adds instant totals, charts, sparklines, tables</t>
        </is>
      </c>
      <c r="E31" s="18" t="inlineStr">
        <is>
          <t>Select numbers and press Ctrl + Q</t>
        </is>
      </c>
    </row>
    <row r="32">
      <c r="A32" s="13" t="inlineStr">
        <is>
          <t>Workbook</t>
        </is>
      </c>
      <c r="B32" s="14" t="inlineStr">
        <is>
          <t>Ctrl + S</t>
        </is>
      </c>
      <c r="C32" s="15" t="inlineStr">
        <is>
          <t>Save the active workbook</t>
        </is>
      </c>
      <c r="D32" s="15" t="inlineStr">
        <is>
          <t>Rule #1 of Excel: Save every 5 minutes!</t>
        </is>
      </c>
      <c r="E32" s="15" t="inlineStr">
        <is>
          <t>Press Ctrl + S frequently</t>
        </is>
      </c>
    </row>
    <row r="33">
      <c r="A33" s="16" t="inlineStr">
        <is>
          <t>Workbook</t>
        </is>
      </c>
      <c r="B33" s="17" t="inlineStr">
        <is>
          <t>Ctrl + N / Ctrl + W</t>
        </is>
      </c>
      <c r="C33" s="18" t="inlineStr">
        <is>
          <t>New Workbook / Close current Workbook</t>
        </is>
      </c>
      <c r="D33" s="18" t="inlineStr">
        <is>
          <t>Rapid file management</t>
        </is>
      </c>
      <c r="E33" s="18" t="inlineStr">
        <is>
          <t>Open new file with Ctrl + N</t>
        </is>
      </c>
    </row>
    <row r="34">
      <c r="A34" s="13" t="inlineStr">
        <is>
          <t>Workbook</t>
        </is>
      </c>
      <c r="B34" s="14" t="inlineStr">
        <is>
          <t>Ctrl + Page Down/Up</t>
        </is>
      </c>
      <c r="C34" s="15" t="inlineStr">
        <is>
          <t>Switch to Next / Previous Worksheet</t>
        </is>
      </c>
      <c r="D34" s="15" t="inlineStr">
        <is>
          <t>Navigates between tabs without reaching for mouse</t>
        </is>
      </c>
      <c r="E34" s="15" t="inlineStr">
        <is>
          <t>Press Ctrl + Page Down to go to Mod 1</t>
        </is>
      </c>
    </row>
    <row r="35">
      <c r="A35" s="16" t="inlineStr">
        <is>
          <t>Rows/Cols</t>
        </is>
      </c>
      <c r="B35" s="17" t="inlineStr">
        <is>
          <t>Ctrl + Shift + +</t>
        </is>
      </c>
      <c r="C35" s="18" t="inlineStr">
        <is>
          <t>Insert new blank row, column, or cells</t>
        </is>
      </c>
      <c r="D35" s="18" t="inlineStr">
        <is>
          <t>Quickly add records or fields</t>
        </is>
      </c>
      <c r="E35" s="18" t="inlineStr">
        <is>
          <t>Select row header and press Ctrl+Shift++</t>
        </is>
      </c>
    </row>
    <row r="36">
      <c r="A36" s="13" t="inlineStr">
        <is>
          <t>Rows/Cols</t>
        </is>
      </c>
      <c r="B36" s="14" t="inlineStr">
        <is>
          <t>Ctrl + -</t>
        </is>
      </c>
      <c r="C36" s="15" t="inlineStr">
        <is>
          <t>Delete selected row, column, or cells</t>
        </is>
      </c>
      <c r="D36" s="15" t="inlineStr">
        <is>
          <t>Clean out unwanted rows cleanly</t>
        </is>
      </c>
      <c r="E36" s="15" t="inlineStr">
        <is>
          <t>Select column and press Ctrl + -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9" customWidth="1" min="3" max="3"/>
    <col width="30" customWidth="1" min="4" max="4"/>
    <col width="45" customWidth="1" min="5" max="5"/>
    <col width="16" customWidth="1" min="6" max="6"/>
    <col width="13" customWidth="1" min="7" max="7"/>
    <col width="12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📘 MODULE 1: EXCEL BASICS &amp; NAVIGATION PRACTICE</t>
        </is>
      </c>
    </row>
    <row r="3">
      <c r="A3" s="2" t="inlineStr">
        <is>
          <t>Module Focus: 1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You just joined Acme Global as an Operations Analyst. Your supervisor hands you a raw contact register.</t>
        </is>
      </c>
    </row>
    <row r="7">
      <c r="A7" s="4" t="inlineStr">
        <is>
          <t>Your mission: 1) Freeze the top header row so it stays visible. 2) Identify the correct Data Type for each field. 3) Practice fast keyboard navigation.</t>
        </is>
      </c>
    </row>
    <row r="8"/>
    <row r="9">
      <c r="A9" s="19" t="inlineStr">
        <is>
          <t>EXERCISE 1: IDENTIFY EXCEL DATA TYPES</t>
        </is>
      </c>
    </row>
    <row r="10">
      <c r="A10" s="20" t="inlineStr">
        <is>
          <t>Excel stores data as: Text, Number, Date, Currency, or Logical (Boolean). Enter the correct data type in Column C.</t>
        </is>
      </c>
    </row>
    <row r="11">
      <c r="A11" s="5" t="inlineStr">
        <is>
          <t>Sample Value</t>
        </is>
      </c>
      <c r="B11" s="5" t="inlineStr">
        <is>
          <t>What It Represents</t>
        </is>
      </c>
      <c r="C11" s="5" t="inlineStr">
        <is>
          <t>[STUDENT ENTRY] Identified Data Type</t>
        </is>
      </c>
      <c r="D11" s="5" t="inlineStr">
        <is>
          <t>Excel Alignment Rule</t>
        </is>
      </c>
      <c r="E11" s="5" t="inlineStr">
        <is>
          <t>Answer Check</t>
        </is>
      </c>
    </row>
    <row r="12">
      <c r="A12" s="6" t="inlineStr">
        <is>
          <t>E00104</t>
        </is>
      </c>
      <c r="B12" s="8" t="inlineStr">
        <is>
          <t>Employee ID Code</t>
        </is>
      </c>
      <c r="C12" s="21" t="inlineStr"/>
      <c r="D12" s="8" t="inlineStr">
        <is>
          <t>Left-aligned by default</t>
        </is>
      </c>
      <c r="E12" s="22">
        <f>IF(C12="","🟡 Enter type above",IF(LOWER(TRIM(C12))=LOWER("Text"),"✅ Correct!","❌ Try again: Text"))</f>
        <v/>
      </c>
    </row>
    <row r="13">
      <c r="A13" s="6" t="n">
        <v>45000</v>
      </c>
      <c r="B13" s="8" t="inlineStr">
        <is>
          <t>Base Annual Salary</t>
        </is>
      </c>
      <c r="C13" s="21" t="inlineStr"/>
      <c r="D13" s="8" t="inlineStr">
        <is>
          <t>Right-aligned by default</t>
        </is>
      </c>
      <c r="E13" s="22">
        <f>IF(C13="","🟡 Enter type above",IF(LOWER(TRIM(C13))=LOWER("Number"),"✅ Correct!","❌ Try again: Number"))</f>
        <v/>
      </c>
    </row>
    <row r="14">
      <c r="A14" s="6" t="inlineStr">
        <is>
          <t>2026-05-22</t>
        </is>
      </c>
      <c r="B14" s="8" t="inlineStr">
        <is>
          <t>Date of Employment</t>
        </is>
      </c>
      <c r="C14" s="21" t="inlineStr"/>
      <c r="D14" s="8" t="inlineStr">
        <is>
          <t>Right-aligned serial number</t>
        </is>
      </c>
      <c r="E14" s="22">
        <f>IF(C14="","🟡 Enter type above",IF(LOWER(TRIM(C14))=LOWER("Date"),"✅ Correct!","❌ Try again: Date"))</f>
        <v/>
      </c>
    </row>
    <row r="15">
      <c r="A15" s="6" t="b">
        <v>1</v>
      </c>
      <c r="B15" s="8" t="inlineStr">
        <is>
          <t>Eligible for Health Insurance</t>
        </is>
      </c>
      <c r="C15" s="21" t="inlineStr"/>
      <c r="D15" s="8" t="inlineStr">
        <is>
          <t>Centered by default</t>
        </is>
      </c>
      <c r="E15" s="22">
        <f>IF(C15="","🟡 Enter type above",IF(LOWER(TRIM(C15))=LOWER("Logical"),"✅ Correct!","❌ Try again: Logical"))</f>
        <v/>
      </c>
    </row>
    <row r="16">
      <c r="A16" s="6">
        <f>B12*0.1</f>
        <v/>
      </c>
      <c r="B16" s="8" t="inlineStr">
        <is>
          <t>Calculated Commission</t>
        </is>
      </c>
      <c r="C16" s="21" t="inlineStr"/>
      <c r="D16" s="8" t="inlineStr">
        <is>
          <t>Displays resulting value</t>
        </is>
      </c>
      <c r="E16" s="22">
        <f>IF(C16="","🟡 Enter type above",IF(LOWER(TRIM(C16))=LOWER("Formula"),"✅ Correct!","❌ Try again: Formula"))</f>
        <v/>
      </c>
    </row>
    <row r="17">
      <c r="A17" s="6" t="inlineStr">
        <is>
          <t>Lagoon Way, Lagos</t>
        </is>
      </c>
      <c r="B17" s="8" t="inlineStr">
        <is>
          <t>Office Address</t>
        </is>
      </c>
      <c r="C17" s="21" t="inlineStr"/>
      <c r="D17" s="8" t="inlineStr">
        <is>
          <t>Left-aligned by default</t>
        </is>
      </c>
      <c r="E17" s="22">
        <f>IF(C17="","🟡 Enter type above",IF(LOWER(TRIM(C17))=LOWER("Text"),"✅ Correct!","❌ Try again: Text"))</f>
        <v/>
      </c>
    </row>
    <row r="18">
      <c r="A18" s="6" t="n">
        <v>0.185</v>
      </c>
      <c r="B18" s="8" t="inlineStr">
        <is>
          <t>Tax Rate Percentage</t>
        </is>
      </c>
      <c r="C18" s="21" t="inlineStr"/>
      <c r="D18" s="8" t="inlineStr">
        <is>
          <t>Right-aligned decimal</t>
        </is>
      </c>
      <c r="E18" s="22">
        <f>IF(C18="","🟡 Enter type above",IF(LOWER(TRIM(C18))=LOWER("Number"),"✅ Correct!","❌ Try again: Number"))</f>
        <v/>
      </c>
    </row>
    <row r="19"/>
    <row r="20"/>
    <row r="21">
      <c r="A21" s="19" t="inlineStr">
        <is>
          <t>EXERCISE 2: CONTACT DIRECTORY (PRACTICE FREEZE PANES &amp; SCROLLING)</t>
        </is>
      </c>
    </row>
    <row r="22">
      <c r="A22" s="20" t="inlineStr">
        <is>
          <t>Action: Go to View tab ➔ Freeze Panes ➔ Freeze Top Row (or freeze at Row 23). Notice how headers stay pinned!</t>
        </is>
      </c>
    </row>
    <row r="23">
      <c r="A23" s="5" t="inlineStr">
        <is>
          <t>Contact ID</t>
        </is>
      </c>
      <c r="B23" s="5" t="inlineStr">
        <is>
          <t>First Name</t>
        </is>
      </c>
      <c r="C23" s="5" t="inlineStr">
        <is>
          <t>Last Name</t>
        </is>
      </c>
      <c r="D23" s="5" t="inlineStr">
        <is>
          <t>Department</t>
        </is>
      </c>
      <c r="E23" s="5" t="inlineStr">
        <is>
          <t>Job Title</t>
        </is>
      </c>
      <c r="F23" s="5" t="inlineStr">
        <is>
          <t>City</t>
        </is>
      </c>
      <c r="G23" s="5" t="inlineStr">
        <is>
          <t>Hire Date</t>
        </is>
      </c>
      <c r="H23" s="5" t="inlineStr">
        <is>
          <t>Status</t>
        </is>
      </c>
    </row>
    <row r="24">
      <c r="A24" s="9" t="inlineStr">
        <is>
          <t>C-101</t>
        </is>
      </c>
      <c r="B24" s="11" t="inlineStr">
        <is>
          <t>Ada</t>
        </is>
      </c>
      <c r="C24" s="11" t="inlineStr">
        <is>
          <t>Okonkwo</t>
        </is>
      </c>
      <c r="D24" s="11" t="inlineStr">
        <is>
          <t>Sales</t>
        </is>
      </c>
      <c r="E24" s="11" t="inlineStr">
        <is>
          <t>Account Executive</t>
        </is>
      </c>
      <c r="F24" s="11" t="inlineStr">
        <is>
          <t>Lagos</t>
        </is>
      </c>
      <c r="G24" s="9" t="inlineStr">
        <is>
          <t>2023-01-15</t>
        </is>
      </c>
      <c r="H24" s="9" t="inlineStr">
        <is>
          <t>Active</t>
        </is>
      </c>
    </row>
    <row r="25">
      <c r="A25" s="6" t="inlineStr">
        <is>
          <t>C-102</t>
        </is>
      </c>
      <c r="B25" s="8" t="inlineStr">
        <is>
          <t>Babajide</t>
        </is>
      </c>
      <c r="C25" s="8" t="inlineStr">
        <is>
          <t>Sanwo</t>
        </is>
      </c>
      <c r="D25" s="8" t="inlineStr">
        <is>
          <t>Operations</t>
        </is>
      </c>
      <c r="E25" s="8" t="inlineStr">
        <is>
          <t>Logistics Coordinator</t>
        </is>
      </c>
      <c r="F25" s="8" t="inlineStr">
        <is>
          <t>Abuja</t>
        </is>
      </c>
      <c r="G25" s="6" t="inlineStr">
        <is>
          <t>2022-04-10</t>
        </is>
      </c>
      <c r="H25" s="6" t="inlineStr">
        <is>
          <t>Active</t>
        </is>
      </c>
    </row>
    <row r="26">
      <c r="A26" s="9" t="inlineStr">
        <is>
          <t>C-103</t>
        </is>
      </c>
      <c r="B26" s="11" t="inlineStr">
        <is>
          <t>Chidinma</t>
        </is>
      </c>
      <c r="C26" s="11" t="inlineStr">
        <is>
          <t>Eze</t>
        </is>
      </c>
      <c r="D26" s="11" t="inlineStr">
        <is>
          <t>Finance</t>
        </is>
      </c>
      <c r="E26" s="11" t="inlineStr">
        <is>
          <t>Senior Accountant</t>
        </is>
      </c>
      <c r="F26" s="11" t="inlineStr">
        <is>
          <t>Enugu</t>
        </is>
      </c>
      <c r="G26" s="9" t="inlineStr">
        <is>
          <t>2021-08-20</t>
        </is>
      </c>
      <c r="H26" s="9" t="inlineStr">
        <is>
          <t>Active</t>
        </is>
      </c>
    </row>
    <row r="27">
      <c r="A27" s="6" t="inlineStr">
        <is>
          <t>C-104</t>
        </is>
      </c>
      <c r="B27" s="8" t="inlineStr">
        <is>
          <t>Daniel</t>
        </is>
      </c>
      <c r="C27" s="8" t="inlineStr">
        <is>
          <t>Kalu</t>
        </is>
      </c>
      <c r="D27" s="8" t="inlineStr">
        <is>
          <t>Technology</t>
        </is>
      </c>
      <c r="E27" s="8" t="inlineStr">
        <is>
          <t>Cloud Engineer</t>
        </is>
      </c>
      <c r="F27" s="8" t="inlineStr">
        <is>
          <t>Lagos</t>
        </is>
      </c>
      <c r="G27" s="6" t="inlineStr">
        <is>
          <t>2023-09-01</t>
        </is>
      </c>
      <c r="H27" s="6" t="inlineStr">
        <is>
          <t>Probation</t>
        </is>
      </c>
    </row>
    <row r="28">
      <c r="A28" s="9" t="inlineStr">
        <is>
          <t>C-105</t>
        </is>
      </c>
      <c r="B28" s="11" t="inlineStr">
        <is>
          <t>Fatima</t>
        </is>
      </c>
      <c r="C28" s="11" t="inlineStr">
        <is>
          <t>Aliyu</t>
        </is>
      </c>
      <c r="D28" s="11" t="inlineStr">
        <is>
          <t>HR</t>
        </is>
      </c>
      <c r="E28" s="11" t="inlineStr">
        <is>
          <t>People Partner</t>
        </is>
      </c>
      <c r="F28" s="11" t="inlineStr">
        <is>
          <t>Kano</t>
        </is>
      </c>
      <c r="G28" s="9" t="inlineStr">
        <is>
          <t>2020-11-12</t>
        </is>
      </c>
      <c r="H28" s="9" t="inlineStr">
        <is>
          <t>Active</t>
        </is>
      </c>
    </row>
    <row r="29">
      <c r="A29" s="6" t="inlineStr">
        <is>
          <t>C-106</t>
        </is>
      </c>
      <c r="B29" s="8" t="inlineStr">
        <is>
          <t>Grace</t>
        </is>
      </c>
      <c r="C29" s="8" t="inlineStr">
        <is>
          <t>Mensah</t>
        </is>
      </c>
      <c r="D29" s="8" t="inlineStr">
        <is>
          <t>Marketing</t>
        </is>
      </c>
      <c r="E29" s="8" t="inlineStr">
        <is>
          <t>Brand Specialist</t>
        </is>
      </c>
      <c r="F29" s="8" t="inlineStr">
        <is>
          <t>Accra</t>
        </is>
      </c>
      <c r="G29" s="6" t="inlineStr">
        <is>
          <t>2024-02-01</t>
        </is>
      </c>
      <c r="H29" s="6" t="inlineStr">
        <is>
          <t>Probation</t>
        </is>
      </c>
    </row>
    <row r="30">
      <c r="A30" s="9" t="inlineStr">
        <is>
          <t>C-107</t>
        </is>
      </c>
      <c r="B30" s="11" t="inlineStr">
        <is>
          <t>Ibrahim</t>
        </is>
      </c>
      <c r="C30" s="11" t="inlineStr">
        <is>
          <t>Musa</t>
        </is>
      </c>
      <c r="D30" s="11" t="inlineStr">
        <is>
          <t>Sales</t>
        </is>
      </c>
      <c r="E30" s="11" t="inlineStr">
        <is>
          <t>Regional Manager</t>
        </is>
      </c>
      <c r="F30" s="11" t="inlineStr">
        <is>
          <t>Kaduna</t>
        </is>
      </c>
      <c r="G30" s="9" t="inlineStr">
        <is>
          <t>2019-06-18</t>
        </is>
      </c>
      <c r="H30" s="9" t="inlineStr">
        <is>
          <t>Active</t>
        </is>
      </c>
    </row>
    <row r="31">
      <c r="A31" s="6" t="inlineStr">
        <is>
          <t>C-108</t>
        </is>
      </c>
      <c r="B31" s="8" t="inlineStr">
        <is>
          <t>Kelechi</t>
        </is>
      </c>
      <c r="C31" s="8" t="inlineStr">
        <is>
          <t>Nwosu</t>
        </is>
      </c>
      <c r="D31" s="8" t="inlineStr">
        <is>
          <t>Finance</t>
        </is>
      </c>
      <c r="E31" s="8" t="inlineStr">
        <is>
          <t>Billing Specialist</t>
        </is>
      </c>
      <c r="F31" s="8" t="inlineStr">
        <is>
          <t>Port Harcourt</t>
        </is>
      </c>
      <c r="G31" s="6" t="inlineStr">
        <is>
          <t>2023-10-05</t>
        </is>
      </c>
      <c r="H31" s="6" t="inlineStr">
        <is>
          <t>Active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45" customWidth="1" min="4" max="4"/>
    <col width="17" customWidth="1" min="5" max="5"/>
    <col width="29" customWidth="1" min="6" max="6"/>
    <col width="45" customWidth="1" min="7" max="7"/>
  </cols>
  <sheetData>
    <row r="1">
      <c r="A1" s="12" t="inlineStr">
        <is>
          <t>⬅️ Back to Course Roadmap</t>
        </is>
      </c>
    </row>
    <row r="2">
      <c r="A2" s="1" t="inlineStr">
        <is>
          <t>🧮 MODULE 2: BASIC FORMULAS &amp; MATH FUNCTIONS</t>
        </is>
      </c>
    </row>
    <row r="3">
      <c r="A3" s="2" t="inlineStr">
        <is>
          <t>Module Focus: 2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You run a commercial electronics store. You have weekly transaction records and must prepare the executive sales audit.</t>
        </is>
      </c>
    </row>
    <row r="7">
      <c r="A7" s="4" t="inlineStr">
        <is>
          <t>Tasks: 1) Calculate Total Sales = Units * Unit Price. 2) Compute Summary Metrics (SUM, AVERAGE, MIN, MAX, COUNT, COUNTA).</t>
        </is>
      </c>
    </row>
    <row r="8"/>
    <row r="9">
      <c r="A9" s="5" t="inlineStr">
        <is>
          <t>Item Code</t>
        </is>
      </c>
      <c r="B9" s="5" t="inlineStr">
        <is>
          <t>Product Description</t>
        </is>
      </c>
      <c r="C9" s="5" t="inlineStr">
        <is>
          <t>Category</t>
        </is>
      </c>
      <c r="D9" s="5" t="inlineStr">
        <is>
          <t>Units Sold</t>
        </is>
      </c>
      <c r="E9" s="5" t="inlineStr">
        <is>
          <t>Unit Price ($)</t>
        </is>
      </c>
      <c r="F9" s="5" t="inlineStr">
        <is>
          <t>[PRACTICE] Total Sales ($)</t>
        </is>
      </c>
      <c r="G9" s="5" t="inlineStr">
        <is>
          <t>Formula Verification Check</t>
        </is>
      </c>
    </row>
    <row r="10">
      <c r="A10" s="9" t="inlineStr">
        <is>
          <t>PRD-01</t>
        </is>
      </c>
      <c r="B10" s="11" t="inlineStr">
        <is>
          <t>Lenovo ThinkPad E14</t>
        </is>
      </c>
      <c r="C10" s="11" t="inlineStr">
        <is>
          <t>Computers</t>
        </is>
      </c>
      <c r="D10" s="23" t="n">
        <v>12</v>
      </c>
      <c r="E10" s="24" t="n">
        <v>850</v>
      </c>
      <c r="F10" s="25" t="n"/>
      <c r="G10" s="22">
        <f>IF(F10="","🟡 Enter formula =D10*E10",IF(ABS(F10-(D10*E10))&lt;0.01,"✅ Correct!","❌ Re-check formula"))</f>
        <v/>
      </c>
    </row>
    <row r="11">
      <c r="A11" s="6" t="inlineStr">
        <is>
          <t>PRD-02</t>
        </is>
      </c>
      <c r="B11" s="8" t="inlineStr">
        <is>
          <t>Dell UltraSharp 27" Monitor</t>
        </is>
      </c>
      <c r="C11" s="8" t="inlineStr">
        <is>
          <t>Displays</t>
        </is>
      </c>
      <c r="D11" s="26" t="n">
        <v>24</v>
      </c>
      <c r="E11" s="27" t="n">
        <v>320</v>
      </c>
      <c r="F11" s="25" t="n"/>
      <c r="G11" s="22">
        <f>IF(F11="","🟡 Enter formula =D11*E11",IF(ABS(F11-(D11*E11))&lt;0.01,"✅ Correct!","❌ Re-check formula"))</f>
        <v/>
      </c>
    </row>
    <row r="12">
      <c r="A12" s="9" t="inlineStr">
        <is>
          <t>PRD-03</t>
        </is>
      </c>
      <c r="B12" s="11" t="inlineStr">
        <is>
          <t>Logitech MX Master 3S Mouse</t>
        </is>
      </c>
      <c r="C12" s="11" t="inlineStr">
        <is>
          <t>Accessories</t>
        </is>
      </c>
      <c r="D12" s="23" t="n">
        <v>45</v>
      </c>
      <c r="E12" s="24" t="n">
        <v>99</v>
      </c>
      <c r="F12" s="25" t="n"/>
      <c r="G12" s="22">
        <f>IF(F12="","🟡 Enter formula =D12*E12",IF(ABS(F12-(D12*E12))&lt;0.01,"✅ Correct!","❌ Re-check formula"))</f>
        <v/>
      </c>
    </row>
    <row r="13">
      <c r="A13" s="6" t="inlineStr">
        <is>
          <t>PRD-04</t>
        </is>
      </c>
      <c r="B13" s="8" t="inlineStr">
        <is>
          <t>Apple MacBook Air M2</t>
        </is>
      </c>
      <c r="C13" s="8" t="inlineStr">
        <is>
          <t>Computers</t>
        </is>
      </c>
      <c r="D13" s="26" t="n">
        <v>8</v>
      </c>
      <c r="E13" s="27" t="n">
        <v>1150</v>
      </c>
      <c r="F13" s="25" t="n"/>
      <c r="G13" s="22">
        <f>IF(F13="","🟡 Enter formula =D13*E13",IF(ABS(F13-(D13*E13))&lt;0.01,"✅ Correct!","❌ Re-check formula"))</f>
        <v/>
      </c>
    </row>
    <row r="14">
      <c r="A14" s="9" t="inlineStr">
        <is>
          <t>PRD-05</t>
        </is>
      </c>
      <c r="B14" s="11" t="inlineStr">
        <is>
          <t>Sony WH-1000XM5 Headphones</t>
        </is>
      </c>
      <c r="C14" s="11" t="inlineStr">
        <is>
          <t>Audio</t>
        </is>
      </c>
      <c r="D14" s="23" t="n">
        <v>15</v>
      </c>
      <c r="E14" s="24" t="n">
        <v>380</v>
      </c>
      <c r="F14" s="25" t="n"/>
      <c r="G14" s="22">
        <f>IF(F14="","🟡 Enter formula =D14*E14",IF(ABS(F14-(D14*E14))&lt;0.01,"✅ Correct!","❌ Re-check formula"))</f>
        <v/>
      </c>
    </row>
    <row r="15">
      <c r="A15" s="6" t="inlineStr">
        <is>
          <t>PRD-06</t>
        </is>
      </c>
      <c r="B15" s="8" t="inlineStr">
        <is>
          <t>Samsung T7 1TB SSD</t>
        </is>
      </c>
      <c r="C15" s="8" t="inlineStr">
        <is>
          <t>Storage</t>
        </is>
      </c>
      <c r="D15" s="26" t="n">
        <v>30</v>
      </c>
      <c r="E15" s="27" t="n">
        <v>110</v>
      </c>
      <c r="F15" s="25" t="n"/>
      <c r="G15" s="22">
        <f>IF(F15="","🟡 Enter formula =D15*E15",IF(ABS(F15-(D15*E15))&lt;0.01,"✅ Correct!","❌ Re-check formula"))</f>
        <v/>
      </c>
    </row>
    <row r="16">
      <c r="A16" s="9" t="inlineStr">
        <is>
          <t>PRD-07</t>
        </is>
      </c>
      <c r="B16" s="11" t="inlineStr">
        <is>
          <t>Keychron K2 Mechanical Keyboard</t>
        </is>
      </c>
      <c r="C16" s="11" t="inlineStr">
        <is>
          <t>Accessories</t>
        </is>
      </c>
      <c r="D16" s="23" t="n">
        <v>22</v>
      </c>
      <c r="E16" s="24" t="n">
        <v>85</v>
      </c>
      <c r="F16" s="25" t="n"/>
      <c r="G16" s="22">
        <f>IF(F16="","🟡 Enter formula =D16*E16",IF(ABS(F16-(D16*E16))&lt;0.01,"✅ Correct!","❌ Re-check formula"))</f>
        <v/>
      </c>
    </row>
    <row r="17">
      <c r="A17" s="6" t="inlineStr">
        <is>
          <t>PRD-08</t>
        </is>
      </c>
      <c r="B17" s="8" t="inlineStr">
        <is>
          <t>HP LaserJet Pro Printer</t>
        </is>
      </c>
      <c r="C17" s="8" t="inlineStr">
        <is>
          <t>Printers</t>
        </is>
      </c>
      <c r="D17" s="26" t="n">
        <v>6</v>
      </c>
      <c r="E17" s="27" t="n">
        <v>290</v>
      </c>
      <c r="F17" s="25" t="n"/>
      <c r="G17" s="22">
        <f>IF(F17="","🟡 Enter formula =D17*E17",IF(ABS(F17-(D17*E17))&lt;0.01,"✅ Correct!","❌ Re-check formula"))</f>
        <v/>
      </c>
    </row>
    <row r="18">
      <c r="A18" s="9" t="inlineStr">
        <is>
          <t>PRD-09</t>
        </is>
      </c>
      <c r="B18" s="11" t="inlineStr">
        <is>
          <t>Anker 100W USB-C Charger</t>
        </is>
      </c>
      <c r="C18" s="11" t="inlineStr">
        <is>
          <t>Accessories</t>
        </is>
      </c>
      <c r="D18" s="23" t="n">
        <v>50</v>
      </c>
      <c r="E18" s="24" t="n">
        <v>45</v>
      </c>
      <c r="F18" s="25" t="n"/>
      <c r="G18" s="22">
        <f>IF(F18="","🟡 Enter formula =D18*E18",IF(ABS(F18-(D18*E18))&lt;0.01,"✅ Correct!","❌ Re-check formula"))</f>
        <v/>
      </c>
    </row>
    <row r="19">
      <c r="A19" s="6" t="inlineStr">
        <is>
          <t>PRD-10</t>
        </is>
      </c>
      <c r="B19" s="8" t="inlineStr">
        <is>
          <t>LG 34" UltraWide Curved Monitor</t>
        </is>
      </c>
      <c r="C19" s="8" t="inlineStr">
        <is>
          <t>Displays</t>
        </is>
      </c>
      <c r="D19" s="26" t="n">
        <v>5</v>
      </c>
      <c r="E19" s="27" t="n">
        <v>550</v>
      </c>
      <c r="F19" s="25" t="n"/>
      <c r="G19" s="22">
        <f>IF(F19="","🟡 Enter formula =D19*E19",IF(ABS(F19-(D19*E19))&lt;0.01,"✅ Correct!","❌ Re-check formula"))</f>
        <v/>
      </c>
    </row>
    <row r="20"/>
    <row r="21"/>
    <row r="22">
      <c r="A22" s="19" t="inlineStr">
        <is>
          <t>📊 EXECUTIVE SUMMARY CALCULATIONS</t>
        </is>
      </c>
    </row>
    <row r="23">
      <c r="A23" s="20" t="inlineStr">
        <is>
          <t>Instructions: Write the requested formula in Column C. Column D checks your work.</t>
        </is>
      </c>
    </row>
    <row r="24">
      <c r="A24" s="5" t="inlineStr">
        <is>
          <t>Metric Name</t>
        </is>
      </c>
      <c r="B24" s="5" t="inlineStr">
        <is>
          <t>Description &amp; Formula Hint</t>
        </is>
      </c>
      <c r="C24" s="5" t="inlineStr">
        <is>
          <t>[PRACTICE] Write Formula Here</t>
        </is>
      </c>
      <c r="D24" s="5" t="inlineStr">
        <is>
          <t>Automated Validation Check</t>
        </is>
      </c>
    </row>
    <row r="25">
      <c r="A25" s="8" t="inlineStr">
        <is>
          <t>Total Company Revenue (SUM)</t>
        </is>
      </c>
      <c r="B25" s="8" t="inlineStr">
        <is>
          <t>Total money earned across all products (Hint: =SUM(D10:D19))</t>
        </is>
      </c>
      <c r="C25" s="28" t="n"/>
      <c r="D25" s="22">
        <f>IF(C25="","🟡 Write =SUM(D10:D19)",IF(ISNUMBER(C25),"✅ Valid Number (Verify against key)","❌ Syntax error"))</f>
        <v/>
      </c>
    </row>
    <row r="26">
      <c r="A26" s="8" t="inlineStr">
        <is>
          <t>Average Revenue Per Product (AVERAGE)</t>
        </is>
      </c>
      <c r="B26" s="8" t="inlineStr">
        <is>
          <t>Mean product revenue (Hint: =AVERAGE(F10:F19))</t>
        </is>
      </c>
      <c r="C26" s="28" t="n"/>
      <c r="D26" s="22">
        <f>IF(C26="","🟡 Write =AVERAGE(F10:F19)",IF(ISNUMBER(C26),"✅ Valid Number (Verify against key)","❌ Syntax error"))</f>
        <v/>
      </c>
    </row>
    <row r="27">
      <c r="A27" s="8" t="inlineStr">
        <is>
          <t>Total Units Sold (SUM)</t>
        </is>
      </c>
      <c r="B27" s="8" t="inlineStr">
        <is>
          <t>Sum of all units moved (Hint: =SUM(D10:D19))</t>
        </is>
      </c>
      <c r="C27" s="28" t="n"/>
      <c r="D27" s="22">
        <f>IF(C27="","🟡 Write =SUM(D10:D19)",IF(ISNUMBER(C27),"✅ Valid Number (Verify against key)","❌ Syntax error"))</f>
        <v/>
      </c>
    </row>
    <row r="28">
      <c r="A28" s="8" t="inlineStr">
        <is>
          <t>Highest Single Product Revenue (MAX)</t>
        </is>
      </c>
      <c r="B28" s="8" t="inlineStr">
        <is>
          <t>Maximum revenue recorded (Hint: =MAX(F10:F19))</t>
        </is>
      </c>
      <c r="C28" s="28" t="n"/>
      <c r="D28" s="22">
        <f>IF(C28="","🟡 Write =MAX(F10:F19)",IF(ISNUMBER(C28),"✅ Valid Number (Verify against key)","❌ Syntax error"))</f>
        <v/>
      </c>
    </row>
    <row r="29">
      <c r="A29" s="8" t="inlineStr">
        <is>
          <t>Lowest Single Product Revenue (MIN)</t>
        </is>
      </c>
      <c r="B29" s="8" t="inlineStr">
        <is>
          <t>Minimum revenue recorded (Hint: =MIN(F10:F19))</t>
        </is>
      </c>
      <c r="C29" s="28" t="n"/>
      <c r="D29" s="22">
        <f>IF(C29="","🟡 Write =MIN(F10:F19)",IF(ISNUMBER(C29),"✅ Valid Number (Verify against key)","❌ Syntax error"))</f>
        <v/>
      </c>
    </row>
    <row r="30">
      <c r="A30" s="8" t="inlineStr">
        <is>
          <t>Count of Product Lines (COUNTA)</t>
        </is>
      </c>
      <c r="B30" s="8" t="inlineStr">
        <is>
          <t>Total number of non-empty product names (Hint: =COUNTA(B10:B19))</t>
        </is>
      </c>
      <c r="C30" s="28" t="n"/>
      <c r="D30" s="22">
        <f>IF(C30="","🟡 Write =COUNTA(B10:B19)",IF(ISNUMBER(C30),"✅ Valid Number (Verify against key)","❌ Syntax error"))</f>
        <v/>
      </c>
    </row>
    <row r="31">
      <c r="A31" s="8" t="inlineStr">
        <is>
          <t>Count of Numeric Sales Entries (COUNT)</t>
        </is>
      </c>
      <c r="B31" s="8" t="inlineStr">
        <is>
          <t>Counts numeric cells in Total Sales (Hint: =COUNT(F10:F19))</t>
        </is>
      </c>
      <c r="C31" s="28" t="n"/>
      <c r="D31" s="22">
        <f>IF(C31="","🟡 Write =COUNT(F10:F19)",IF(ISNUMBER(C31),"✅ Valid Number (Verify against key)","❌ Syntax error"))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19" customWidth="1" min="4" max="4"/>
    <col width="13" customWidth="1" min="5" max="5"/>
    <col width="45" customWidth="1" min="6" max="6"/>
    <col width="15" customWidth="1" min="7" max="7"/>
    <col width="15" customWidth="1" min="8" max="8"/>
    <col width="32" customWidth="1" min="9" max="9"/>
    <col width="33" customWidth="1" min="10" max="10"/>
    <col width="32" customWidth="1" min="11" max="11"/>
    <col width="29" customWidth="1" min="12" max="12"/>
    <col width="26" customWidth="1" min="13" max="13"/>
  </cols>
  <sheetData>
    <row r="1">
      <c r="A1" s="12" t="inlineStr">
        <is>
          <t>⬅️ Back to Course Roadmap</t>
        </is>
      </c>
    </row>
    <row r="2">
      <c r="A2" s="1" t="inlineStr">
        <is>
          <t>🧠 MODULE 3: LOGICAL FUNCTIONS (IF, AND, OR, IFS, IFERROR)</t>
        </is>
      </c>
    </row>
    <row r="3">
      <c r="A3" s="2" t="inlineStr">
        <is>
          <t>Module Focus: 3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HR &amp; Sales Leadership quarterly performance evaluation. Determine commissions, promotion eligibility, and performance alerts.</t>
        </is>
      </c>
    </row>
    <row r="7">
      <c r="A7" s="4" t="inlineStr">
        <is>
          <t>Practice functions: IF, AND, OR, IFS, Nested IF, and IFERROR.</t>
        </is>
      </c>
    </row>
    <row r="8"/>
    <row r="9">
      <c r="A9" s="5" t="inlineStr">
        <is>
          <t>Emp ID</t>
        </is>
      </c>
      <c r="B9" s="5" t="inlineStr">
        <is>
          <t>Staff Name</t>
        </is>
      </c>
      <c r="C9" s="5" t="inlineStr">
        <is>
          <t>Department</t>
        </is>
      </c>
      <c r="D9" s="5" t="inlineStr">
        <is>
          <t>Actual Sales ($)</t>
        </is>
      </c>
      <c r="E9" s="5" t="inlineStr">
        <is>
          <t>Target ($)</t>
        </is>
      </c>
      <c r="F9" s="5" t="inlineStr">
        <is>
          <t>Years of Service</t>
        </is>
      </c>
      <c r="G9" s="5" t="inlineStr">
        <is>
          <t>Attendance %</t>
        </is>
      </c>
      <c r="H9" s="5" t="inlineStr">
        <is>
          <t>Rating (1-5)</t>
        </is>
      </c>
      <c r="I9" s="5" t="inlineStr">
        <is>
          <t>[PRACTICE 1] Met Target? (IF)</t>
        </is>
      </c>
      <c r="J9" s="5" t="inlineStr">
        <is>
          <t>[PRACTICE 2] Bonus Amount (IF)</t>
        </is>
      </c>
      <c r="K9" s="5" t="inlineStr">
        <is>
          <t>[PRACTICE 3] Promotion? (AND)</t>
        </is>
      </c>
      <c r="L9" s="5" t="inlineStr">
        <is>
          <t>[PRACTICE 4] Warning? (OR)</t>
        </is>
      </c>
      <c r="M9" s="5" t="inlineStr">
        <is>
          <t>[PRACTICE 5] Tier (IFS)</t>
        </is>
      </c>
    </row>
    <row r="10">
      <c r="A10" s="9" t="inlineStr">
        <is>
          <t>EMP-01</t>
        </is>
      </c>
      <c r="B10" s="11" t="inlineStr">
        <is>
          <t>Amina Bello</t>
        </is>
      </c>
      <c r="C10" s="11" t="inlineStr">
        <is>
          <t>Enterprise Sales</t>
        </is>
      </c>
      <c r="D10" s="29" t="n">
        <v>145000</v>
      </c>
      <c r="E10" s="29" t="n">
        <v>100000</v>
      </c>
      <c r="F10" s="9" t="n">
        <v>4</v>
      </c>
      <c r="G10" s="30" t="n">
        <v>0.96</v>
      </c>
      <c r="H10" s="9" t="n">
        <v>4.8</v>
      </c>
      <c r="I10" s="21" t="n"/>
      <c r="J10" s="21" t="n"/>
      <c r="K10" s="21" t="n"/>
      <c r="L10" s="21" t="n"/>
      <c r="M10" s="21" t="n"/>
    </row>
    <row r="11">
      <c r="A11" s="6" t="inlineStr">
        <is>
          <t>EMP-02</t>
        </is>
      </c>
      <c r="B11" s="8" t="inlineStr">
        <is>
          <t>Emeka Okeke</t>
        </is>
      </c>
      <c r="C11" s="8" t="inlineStr">
        <is>
          <t>Retail Sales</t>
        </is>
      </c>
      <c r="D11" s="31" t="n">
        <v>88000</v>
      </c>
      <c r="E11" s="31" t="n">
        <v>100000</v>
      </c>
      <c r="F11" s="6" t="n">
        <v>2</v>
      </c>
      <c r="G11" s="32" t="n">
        <v>0.82</v>
      </c>
      <c r="H11" s="6" t="n">
        <v>3.2</v>
      </c>
      <c r="I11" s="21" t="n"/>
      <c r="J11" s="21" t="n"/>
      <c r="K11" s="21" t="n"/>
      <c r="L11" s="21" t="n"/>
      <c r="M11" s="21" t="n"/>
    </row>
    <row r="12">
      <c r="A12" s="9" t="inlineStr">
        <is>
          <t>EMP-03</t>
        </is>
      </c>
      <c r="B12" s="11" t="inlineStr">
        <is>
          <t>Tunde Bakare</t>
        </is>
      </c>
      <c r="C12" s="11" t="inlineStr">
        <is>
          <t>Enterprise Sales</t>
        </is>
      </c>
      <c r="D12" s="29" t="n">
        <v>120000</v>
      </c>
      <c r="E12" s="29" t="n">
        <v>100000</v>
      </c>
      <c r="F12" s="9" t="n">
        <v>5</v>
      </c>
      <c r="G12" s="30" t="n">
        <v>0.91</v>
      </c>
      <c r="H12" s="9" t="n">
        <v>4.2</v>
      </c>
      <c r="I12" s="21" t="n"/>
      <c r="J12" s="21" t="n"/>
      <c r="K12" s="21" t="n"/>
      <c r="L12" s="21" t="n"/>
      <c r="M12" s="21" t="n"/>
    </row>
    <row r="13">
      <c r="A13" s="6" t="inlineStr">
        <is>
          <t>EMP-04</t>
        </is>
      </c>
      <c r="B13" s="8" t="inlineStr">
        <is>
          <t>Zainab Haruna</t>
        </is>
      </c>
      <c r="C13" s="8" t="inlineStr">
        <is>
          <t>Customer Success</t>
        </is>
      </c>
      <c r="D13" s="31" t="n">
        <v>95000</v>
      </c>
      <c r="E13" s="31" t="n">
        <v>90000</v>
      </c>
      <c r="F13" s="6" t="n">
        <v>3</v>
      </c>
      <c r="G13" s="32" t="n">
        <v>0.98</v>
      </c>
      <c r="H13" s="6" t="n">
        <v>4.6</v>
      </c>
      <c r="I13" s="21" t="n"/>
      <c r="J13" s="21" t="n"/>
      <c r="K13" s="21" t="n"/>
      <c r="L13" s="21" t="n"/>
      <c r="M13" s="21" t="n"/>
    </row>
    <row r="14">
      <c r="A14" s="9" t="inlineStr">
        <is>
          <t>EMP-05</t>
        </is>
      </c>
      <c r="B14" s="11" t="inlineStr">
        <is>
          <t>Ngozi Chukwu</t>
        </is>
      </c>
      <c r="C14" s="11" t="inlineStr">
        <is>
          <t>Retail Sales</t>
        </is>
      </c>
      <c r="D14" s="29" t="n">
        <v>65000</v>
      </c>
      <c r="E14" s="29" t="n">
        <v>100000</v>
      </c>
      <c r="F14" s="9" t="n">
        <v>1</v>
      </c>
      <c r="G14" s="30" t="n">
        <v>0.79</v>
      </c>
      <c r="H14" s="9" t="n">
        <v>2.4</v>
      </c>
      <c r="I14" s="21" t="n"/>
      <c r="J14" s="21" t="n"/>
      <c r="K14" s="21" t="n"/>
      <c r="L14" s="21" t="n"/>
      <c r="M14" s="21" t="n"/>
    </row>
    <row r="15">
      <c r="A15" s="6" t="inlineStr">
        <is>
          <t>EMP-06</t>
        </is>
      </c>
      <c r="B15" s="8" t="inlineStr">
        <is>
          <t>Kofi Mensah</t>
        </is>
      </c>
      <c r="C15" s="8" t="inlineStr">
        <is>
          <t>Enterprise Sales</t>
        </is>
      </c>
      <c r="D15" s="31" t="n">
        <v>110000</v>
      </c>
      <c r="E15" s="31" t="n">
        <v>100000</v>
      </c>
      <c r="F15" s="6" t="n">
        <v>2</v>
      </c>
      <c r="G15" s="32" t="n">
        <v>0.9399999999999999</v>
      </c>
      <c r="H15" s="6" t="n">
        <v>3.8</v>
      </c>
      <c r="I15" s="21" t="n"/>
      <c r="J15" s="21" t="n"/>
      <c r="K15" s="21" t="n"/>
      <c r="L15" s="21" t="n"/>
      <c r="M15" s="21" t="n"/>
    </row>
    <row r="16">
      <c r="A16" s="9" t="inlineStr">
        <is>
          <t>EMP-07</t>
        </is>
      </c>
      <c r="B16" s="11" t="inlineStr">
        <is>
          <t>Damilola Ade</t>
        </is>
      </c>
      <c r="C16" s="11" t="inlineStr">
        <is>
          <t>Retail Sales</t>
        </is>
      </c>
      <c r="D16" s="29" t="n">
        <v>102000</v>
      </c>
      <c r="E16" s="29" t="n">
        <v>100000</v>
      </c>
      <c r="F16" s="9" t="n">
        <v>4</v>
      </c>
      <c r="G16" s="30" t="n">
        <v>0.88</v>
      </c>
      <c r="H16" s="9" t="n">
        <v>3.6</v>
      </c>
      <c r="I16" s="21" t="n"/>
      <c r="J16" s="21" t="n"/>
      <c r="K16" s="21" t="n"/>
      <c r="L16" s="21" t="n"/>
      <c r="M16" s="21" t="n"/>
    </row>
    <row r="17">
      <c r="A17" s="6" t="inlineStr">
        <is>
          <t>EMP-08</t>
        </is>
      </c>
      <c r="B17" s="8" t="inlineStr">
        <is>
          <t>Halima Sani</t>
        </is>
      </c>
      <c r="C17" s="8" t="inlineStr">
        <is>
          <t>Customer Success</t>
        </is>
      </c>
      <c r="D17" s="31" t="n">
        <v>82000</v>
      </c>
      <c r="E17" s="31" t="n">
        <v>90000</v>
      </c>
      <c r="F17" s="6" t="n">
        <v>3</v>
      </c>
      <c r="G17" s="32" t="n">
        <v>0.95</v>
      </c>
      <c r="H17" s="6" t="n">
        <v>3.1</v>
      </c>
      <c r="I17" s="21" t="n"/>
      <c r="J17" s="21" t="n"/>
      <c r="K17" s="21" t="n"/>
      <c r="L17" s="21" t="n"/>
      <c r="M17" s="21" t="n"/>
    </row>
    <row r="18"/>
    <row r="19">
      <c r="A19" s="19" t="inlineStr">
        <is>
          <t>📖 FORMULA LOGIC RULES TO IMPLEMENT:</t>
        </is>
      </c>
    </row>
    <row r="20">
      <c r="A20" s="3" t="inlineStr">
        <is>
          <t>Column I: Met Target? (IF)</t>
        </is>
      </c>
      <c r="C20" s="33">
        <f>IF(D10&gt;=E10, "Yes", "No")</f>
        <v/>
      </c>
      <c r="F20" s="4" t="inlineStr">
        <is>
          <t>If Actual Sales &gt;= Target, return 'Yes', else 'No'</t>
        </is>
      </c>
    </row>
    <row r="21">
      <c r="A21" s="3" t="inlineStr">
        <is>
          <t>Column J: Bonus Amount (IF)</t>
        </is>
      </c>
      <c r="C21" s="33">
        <f>IF(D10&gt;=E10, D10*0.05, 0)</f>
        <v/>
      </c>
      <c r="F21" s="4" t="inlineStr">
        <is>
          <t>If Actual Sales &gt;= Target, award 5% of Actual Sales as bonus, else $0</t>
        </is>
      </c>
    </row>
    <row r="22">
      <c r="A22" s="3" t="inlineStr">
        <is>
          <t>Column K: Promotion? (AND)</t>
        </is>
      </c>
      <c r="C22" s="33">
        <f>IF(AND(D10&gt;=E10, F10&gt;=3), "Eligible", "Wait")</f>
        <v/>
      </c>
      <c r="F22" s="4" t="inlineStr">
        <is>
          <t>Promotion requires BOTH: Met Target (Sales&gt;=Target) AND at least 3 Years Service</t>
        </is>
      </c>
    </row>
    <row r="23">
      <c r="A23" s="3" t="inlineStr">
        <is>
          <t>Column L: Warning? (OR)</t>
        </is>
      </c>
      <c r="C23" s="33">
        <f>IF(OR(G10&lt;0.85, H10&lt;3.0), "Warning", "OK")</f>
        <v/>
      </c>
      <c r="F23" s="4" t="inlineStr">
        <is>
          <t>Warning triggered if EITHER: Attendance &lt; 85% OR Rating &lt; 3.0</t>
        </is>
      </c>
    </row>
    <row r="24">
      <c r="A24" s="3" t="inlineStr">
        <is>
          <t>Column M: Performance Tier (IFS)</t>
        </is>
      </c>
      <c r="C24" s="33">
        <f>IFS(H10&gt;=4.5, "Top Talent", H10&gt;=3.5, "Good", H10&gt;=2.5, "Average", TRUE, "Underperforming")</f>
        <v/>
      </c>
      <c r="F24" s="4" t="inlineStr">
        <is>
          <t>Categorize staff by Rating using IFS or Nested IF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32" customWidth="1" min="4" max="4"/>
    <col width="37" customWidth="1" min="5" max="5"/>
    <col width="45" customWidth="1" min="6" max="6"/>
    <col width="45" customWidth="1" min="7" max="7"/>
    <col width="45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🔤 MODULE 3: TEXT FUNCTIONS &amp; DATA CLEANING</t>
        </is>
      </c>
    </row>
    <row r="3">
      <c r="A3" s="2" t="inlineStr">
        <is>
          <t>Module Focus: 3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Customer service database export has dirty, messy formatting. Names have erratic spaces and lower cases.</t>
        </is>
      </c>
    </row>
    <row r="7">
      <c r="A7" s="4" t="inlineStr">
        <is>
          <t>Task: Use TRIM, PROPER, UPPER, LEFT, RIGHT, LEN, and TEXTJOIN / CONCAT to produce pristine corporate records.</t>
        </is>
      </c>
    </row>
    <row r="8"/>
    <row r="9">
      <c r="A9" s="5" t="inlineStr">
        <is>
          <t>Raw Messy Name</t>
        </is>
      </c>
      <c r="B9" s="5" t="inlineStr">
        <is>
          <t>Raw Mobile Code</t>
        </is>
      </c>
      <c r="C9" s="5" t="inlineStr">
        <is>
          <t>[PRACTICE 1] Clean Name (TRIM &amp; PROPER)</t>
        </is>
      </c>
      <c r="D9" s="5" t="inlineStr">
        <is>
          <t>[PRACTICE 2] Area Code (LEFT)</t>
        </is>
      </c>
      <c r="E9" s="5" t="inlineStr">
        <is>
          <t>[PRACTICE 3] Last 4 Digits (RIGHT)</t>
        </is>
      </c>
      <c r="F9" s="5" t="inlineStr">
        <is>
          <t>[PRACTICE 4] Name Length (LEN)</t>
        </is>
      </c>
      <c r="G9" s="5" t="inlineStr">
        <is>
          <t>[PRACTICE 5] Corporate Email (CONCAT/TEXTJOIN)</t>
        </is>
      </c>
      <c r="H9" s="5" t="inlineStr">
        <is>
          <t>Automated Check</t>
        </is>
      </c>
    </row>
    <row r="10">
      <c r="A10" s="8" t="inlineStr">
        <is>
          <t xml:space="preserve">   john  DOE  </t>
        </is>
      </c>
      <c r="B10" s="6" t="inlineStr">
        <is>
          <t>+234-802-555-0192</t>
        </is>
      </c>
      <c r="C10" s="34" t="n"/>
      <c r="D10" s="21" t="n"/>
      <c r="E10" s="21" t="n"/>
      <c r="F10" s="21" t="n"/>
      <c r="G10" s="34" t="n"/>
      <c r="H10" s="22">
        <f>IF(C10="","🟡 Enter =PROPER(TRIM(A10))",IF(C10=PROPER(TRIM(A10)),"✅ Perfect Clean!","❌ Check TRIM &amp; PROPER"))</f>
        <v/>
      </c>
    </row>
    <row r="11">
      <c r="A11" s="8" t="inlineStr">
        <is>
          <t xml:space="preserve">mary   ann  SMITH </t>
        </is>
      </c>
      <c r="B11" s="6" t="inlineStr">
        <is>
          <t>+234-803-555-8841</t>
        </is>
      </c>
      <c r="C11" s="34" t="n"/>
      <c r="D11" s="21" t="n"/>
      <c r="E11" s="21" t="n"/>
      <c r="F11" s="21" t="n"/>
      <c r="G11" s="34" t="n"/>
      <c r="H11" s="22">
        <f>IF(C11="","🟡 Enter =PROPER(TRIM(A11))",IF(C11=PROPER(TRIM(A11)),"✅ Perfect Clean!","❌ Check TRIM &amp; PROPER"))</f>
        <v/>
      </c>
    </row>
    <row r="12">
      <c r="A12" s="8" t="inlineStr">
        <is>
          <t xml:space="preserve">chidi  Okafor </t>
        </is>
      </c>
      <c r="B12" s="6" t="inlineStr">
        <is>
          <t>+234-805-555-3210</t>
        </is>
      </c>
      <c r="C12" s="34" t="n"/>
      <c r="D12" s="21" t="n"/>
      <c r="E12" s="21" t="n"/>
      <c r="F12" s="21" t="n"/>
      <c r="G12" s="34" t="n"/>
      <c r="H12" s="22">
        <f>IF(C12="","🟡 Enter =PROPER(TRIM(A12))",IF(C12=PROPER(TRIM(A12)),"✅ Perfect Clean!","❌ Check TRIM &amp; PROPER"))</f>
        <v/>
      </c>
    </row>
    <row r="13">
      <c r="A13" s="8" t="inlineStr">
        <is>
          <t xml:space="preserve">  ALEXANDER   HAMILTON</t>
        </is>
      </c>
      <c r="B13" s="6" t="inlineStr">
        <is>
          <t>+234-701-555-9923</t>
        </is>
      </c>
      <c r="C13" s="34" t="n"/>
      <c r="D13" s="21" t="n"/>
      <c r="E13" s="21" t="n"/>
      <c r="F13" s="21" t="n"/>
      <c r="G13" s="34" t="n"/>
      <c r="H13" s="22">
        <f>IF(C13="","🟡 Enter =PROPER(TRIM(A13))",IF(C13=PROPER(TRIM(A13)),"✅ Perfect Clean!","❌ Check TRIM &amp; PROPER"))</f>
        <v/>
      </c>
    </row>
    <row r="14">
      <c r="A14" s="8" t="inlineStr">
        <is>
          <t xml:space="preserve">fatima  danhassan </t>
        </is>
      </c>
      <c r="B14" s="6" t="inlineStr">
        <is>
          <t>+234-812-555-4471</t>
        </is>
      </c>
      <c r="C14" s="34" t="n"/>
      <c r="D14" s="21" t="n"/>
      <c r="E14" s="21" t="n"/>
      <c r="F14" s="21" t="n"/>
      <c r="G14" s="34" t="n"/>
      <c r="H14" s="22">
        <f>IF(C14="","🟡 Enter =PROPER(TRIM(A14))",IF(C14=PROPER(TRIM(A14)),"✅ Perfect Clean!","❌ Check TRIM &amp; PROPER"))</f>
        <v/>
      </c>
    </row>
    <row r="15"/>
    <row r="16"/>
    <row r="17">
      <c r="A17" s="19" t="inlineStr">
        <is>
          <t>📖 CHEAT SHEET FOR THIS EXERCISE:</t>
        </is>
      </c>
    </row>
    <row r="18">
      <c r="A18" s="3" t="inlineStr">
        <is>
          <t>Clean Name</t>
        </is>
      </c>
      <c r="C18" s="33">
        <f>PROPER(TRIM(A10))</f>
        <v/>
      </c>
      <c r="F18" s="4" t="inlineStr">
        <is>
          <t>Removes leading/trailing/multiple spaces, capitalizes each word</t>
        </is>
      </c>
    </row>
    <row r="19">
      <c r="A19" s="3" t="inlineStr">
        <is>
          <t>Area Code</t>
        </is>
      </c>
      <c r="C19" s="33">
        <f>LEFT(B10, 4)</f>
        <v/>
      </c>
      <c r="F19" s="4" t="inlineStr">
        <is>
          <t>Extracts the first 4 characters (e.g. '+234')</t>
        </is>
      </c>
    </row>
    <row r="20">
      <c r="A20" s="3" t="inlineStr">
        <is>
          <t>Last 4 Digits</t>
        </is>
      </c>
      <c r="C20" s="33">
        <f>RIGHT(B10, 4)</f>
        <v/>
      </c>
      <c r="F20" s="4" t="inlineStr">
        <is>
          <t>Extracts the trailing 4 digits of phone number</t>
        </is>
      </c>
    </row>
    <row r="21">
      <c r="A21" s="3" t="inlineStr">
        <is>
          <t>Length Check</t>
        </is>
      </c>
      <c r="C21" s="33">
        <f>LEN(C10)</f>
        <v/>
      </c>
      <c r="F21" s="4" t="inlineStr">
        <is>
          <t>Counts total characters in the cleaned name</t>
        </is>
      </c>
    </row>
    <row r="22">
      <c r="A22" s="3" t="inlineStr">
        <is>
          <t>Generate Email</t>
        </is>
      </c>
      <c r="C22" s="33">
        <f>LOWER(SUBSTITUTE(C10, " ", ".")) &amp; "@company.com"</f>
        <v/>
      </c>
      <c r="F22" s="4" t="inlineStr">
        <is>
          <t>Creates john.doe@company.com standard email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45" customWidth="1" min="3" max="3"/>
    <col width="26" customWidth="1" min="4" max="4"/>
    <col width="45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🧹 MODULE 4: DATA CLEANING, EXCEL TABLES &amp; VALIDATION</t>
        </is>
      </c>
    </row>
    <row r="3">
      <c r="A3" s="2" t="inlineStr">
        <is>
          <t>Module Focus: 4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You must prepare a clean, standardized data intake form for new hires and remove duplicate entries.</t>
        </is>
      </c>
    </row>
    <row r="7">
      <c r="A7" s="4" t="inlineStr">
        <is>
          <t>Tasks: 1) Spot and delete duplicate rows. 2) Set up Data Validation dropdowns. 3) Convert raw data into an official Excel Table (Ctrl + T).</t>
        </is>
      </c>
    </row>
    <row r="8"/>
    <row r="9">
      <c r="A9" s="19" t="inlineStr">
        <is>
          <t>EXERCISE 1: REMOVE DUPLICATE RECORDS</t>
        </is>
      </c>
    </row>
    <row r="10">
      <c r="A10" s="20" t="inlineStr">
        <is>
          <t>Notice rows with duplicate IDs (e.g., EMP-102 appears twice). Practice Data tab ➔ Remove Duplicates.</t>
        </is>
      </c>
    </row>
    <row r="11">
      <c r="A11" s="5" t="inlineStr">
        <is>
          <t>Staff ID</t>
        </is>
      </c>
      <c r="B11" s="5" t="inlineStr">
        <is>
          <t>Full Name</t>
        </is>
      </c>
      <c r="C11" s="5" t="inlineStr">
        <is>
          <t>Department</t>
        </is>
      </c>
      <c r="D11" s="5" t="inlineStr">
        <is>
          <t>Office City</t>
        </is>
      </c>
      <c r="E11" s="5" t="inlineStr">
        <is>
          <t>Status Note</t>
        </is>
      </c>
    </row>
    <row r="12">
      <c r="A12" s="9" t="inlineStr">
        <is>
          <t>EMP-101</t>
        </is>
      </c>
      <c r="B12" s="11" t="inlineStr">
        <is>
          <t>Sunday Martins</t>
        </is>
      </c>
      <c r="C12" s="11" t="inlineStr">
        <is>
          <t>Operations</t>
        </is>
      </c>
      <c r="D12" s="11" t="inlineStr">
        <is>
          <t>Lagos</t>
        </is>
      </c>
      <c r="E12" s="11" t="inlineStr">
        <is>
          <t>Unique Record</t>
        </is>
      </c>
    </row>
    <row r="13">
      <c r="A13" s="6" t="inlineStr">
        <is>
          <t>EMP-102</t>
        </is>
      </c>
      <c r="B13" s="8" t="inlineStr">
        <is>
          <t>Blessing Udoh</t>
        </is>
      </c>
      <c r="C13" s="8" t="inlineStr">
        <is>
          <t>Human Resources</t>
        </is>
      </c>
      <c r="D13" s="8" t="inlineStr">
        <is>
          <t>Abuja</t>
        </is>
      </c>
      <c r="E13" s="8" t="inlineStr">
        <is>
          <t>⚠️ Duplicate Record 1</t>
        </is>
      </c>
    </row>
    <row r="14">
      <c r="A14" s="9" t="inlineStr">
        <is>
          <t>EMP-103</t>
        </is>
      </c>
      <c r="B14" s="11" t="inlineStr">
        <is>
          <t>Victor Adeleke</t>
        </is>
      </c>
      <c r="C14" s="11" t="inlineStr">
        <is>
          <t>Finance</t>
        </is>
      </c>
      <c r="D14" s="11" t="inlineStr">
        <is>
          <t>Lagos</t>
        </is>
      </c>
      <c r="E14" s="11" t="inlineStr">
        <is>
          <t>Unique Record</t>
        </is>
      </c>
    </row>
    <row r="15">
      <c r="A15" s="6" t="inlineStr">
        <is>
          <t>EMP-102</t>
        </is>
      </c>
      <c r="B15" s="8" t="inlineStr">
        <is>
          <t>Blessing Udoh</t>
        </is>
      </c>
      <c r="C15" s="8" t="inlineStr">
        <is>
          <t>Human Resources</t>
        </is>
      </c>
      <c r="D15" s="8" t="inlineStr">
        <is>
          <t>Abuja</t>
        </is>
      </c>
      <c r="E15" s="35" t="inlineStr">
        <is>
          <t>⚠️ DUPLICATE ROW (Delete Me)</t>
        </is>
      </c>
    </row>
    <row r="16">
      <c r="A16" s="9" t="inlineStr">
        <is>
          <t>EMP-104</t>
        </is>
      </c>
      <c r="B16" s="11" t="inlineStr">
        <is>
          <t>Farouk Bello</t>
        </is>
      </c>
      <c r="C16" s="11" t="inlineStr">
        <is>
          <t>Engineering</t>
        </is>
      </c>
      <c r="D16" s="11" t="inlineStr">
        <is>
          <t>Kaduna</t>
        </is>
      </c>
      <c r="E16" s="11" t="inlineStr">
        <is>
          <t>Unique Record</t>
        </is>
      </c>
    </row>
    <row r="17">
      <c r="A17" s="6" t="inlineStr">
        <is>
          <t>EMP-105</t>
        </is>
      </c>
      <c r="B17" s="8" t="inlineStr">
        <is>
          <t>Zita Onwuka</t>
        </is>
      </c>
      <c r="C17" s="8" t="inlineStr">
        <is>
          <t>Marketing</t>
        </is>
      </c>
      <c r="D17" s="8" t="inlineStr">
        <is>
          <t>Enugu</t>
        </is>
      </c>
      <c r="E17" s="8" t="inlineStr">
        <is>
          <t>Unique Record</t>
        </is>
      </c>
    </row>
    <row r="18">
      <c r="A18" s="9" t="inlineStr">
        <is>
          <t>EMP-103</t>
        </is>
      </c>
      <c r="B18" s="11" t="inlineStr">
        <is>
          <t>Victor Adeleke</t>
        </is>
      </c>
      <c r="C18" s="11" t="inlineStr">
        <is>
          <t>Finance</t>
        </is>
      </c>
      <c r="D18" s="11" t="inlineStr">
        <is>
          <t>Lagos</t>
        </is>
      </c>
      <c r="E18" s="35" t="inlineStr">
        <is>
          <t>⚠️ DUPLICATE ROW (Delete Me)</t>
        </is>
      </c>
    </row>
    <row r="19"/>
    <row r="20"/>
    <row r="21">
      <c r="A21" s="19" t="inlineStr">
        <is>
          <t>EXERCISE 2: DATA VALIDATION DROPDOWN &amp; NUMBER RESTRICTION</t>
        </is>
      </c>
    </row>
    <row r="22">
      <c r="A22" s="20" t="inlineStr">
        <is>
          <t>Setup: 1) Department column: Allow List = Sales, Marketing, Finance, HR, IT. 2) Salary column: Whole Number between 30000 and 250000.</t>
        </is>
      </c>
    </row>
    <row r="23">
      <c r="A23" s="5" t="inlineStr">
        <is>
          <t>Candidate Name</t>
        </is>
      </c>
      <c r="B23" s="5" t="inlineStr">
        <is>
          <t>Department [ADD DROPDOWN LIST]</t>
        </is>
      </c>
      <c r="C23" s="5" t="inlineStr">
        <is>
          <t>Proposed Base Salary ($) [RESTRICT $30k-$250k]</t>
        </is>
      </c>
      <c r="D23" s="5" t="inlineStr">
        <is>
          <t>Interview Score (1-100)</t>
        </is>
      </c>
      <c r="E23" s="5" t="inlineStr">
        <is>
          <t>Validation Guide</t>
        </is>
      </c>
    </row>
    <row r="24">
      <c r="A24" s="11" t="inlineStr">
        <is>
          <t>Amara Nwosu</t>
        </is>
      </c>
      <c r="B24" s="34" t="inlineStr">
        <is>
          <t>Select via Dropdown...</t>
        </is>
      </c>
      <c r="C24" s="34" t="n">
        <v>65000</v>
      </c>
      <c r="D24" s="11" t="n">
        <v>88</v>
      </c>
      <c r="E24" s="11" t="inlineStr">
        <is>
          <t>Go to Data ➔ Data Validation ➔ List: Sales,Marketing,Finance,HR,IT</t>
        </is>
      </c>
    </row>
    <row r="25">
      <c r="A25" s="8" t="inlineStr">
        <is>
          <t>Kenneth Braide</t>
        </is>
      </c>
      <c r="B25" s="34" t="inlineStr">
        <is>
          <t>Select via Dropdown...</t>
        </is>
      </c>
      <c r="C25" s="34" t="n">
        <v>110000</v>
      </c>
      <c r="D25" s="8" t="n">
        <v>94</v>
      </c>
      <c r="E25" s="8" t="inlineStr">
        <is>
          <t>Go to Data ➔ Data Validation ➔ Whole Number: Min 30000, Max 250000</t>
        </is>
      </c>
    </row>
    <row r="26">
      <c r="A26" s="11" t="inlineStr">
        <is>
          <t>Hauwa Yusuf</t>
        </is>
      </c>
      <c r="B26" s="34" t="inlineStr">
        <is>
          <t>Select via Dropdown...</t>
        </is>
      </c>
      <c r="C26" s="34" t="n">
        <v>45000</v>
      </c>
      <c r="D26" s="11" t="n">
        <v>78</v>
      </c>
      <c r="E26" s="11" t="inlineStr">
        <is>
          <t>Add Input Message: 'Please enter official base salary'</t>
        </is>
      </c>
    </row>
    <row r="27">
      <c r="A27" s="8" t="inlineStr">
        <is>
          <t>David Adele</t>
        </is>
      </c>
      <c r="B27" s="34" t="inlineStr">
        <is>
          <t>Select via Dropdown...</t>
        </is>
      </c>
      <c r="C27" s="34" t="n">
        <v>85000</v>
      </c>
      <c r="D27" s="8" t="n">
        <v>82</v>
      </c>
      <c r="E27" s="8" t="inlineStr">
        <is>
          <t>Add Error Alert: 'Stop: Salary must be between $30,000 and $250,000'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45" customWidth="1" min="3" max="3"/>
    <col width="38" customWidth="1" min="4" max="4"/>
    <col width="35" customWidth="1" min="5" max="5"/>
    <col width="45" customWidth="1" min="6" max="6"/>
    <col width="26" customWidth="1" min="7" max="7"/>
    <col width="45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🔍 MODULE 5: LOOKUP FUNCTIONS (VLOOKUP, XLOOKUP, INDEX+MATCH)</t>
        </is>
      </c>
    </row>
    <row r="3">
      <c r="A3" s="2" t="inlineStr">
        <is>
          <t>Module Focus: 5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Customer Order Processing. You receive orders with Product Codes. You must look up details from the Master Catalog.</t>
        </is>
      </c>
    </row>
    <row r="7">
      <c r="A7" s="4" t="inlineStr">
        <is>
          <t>Compare: VLOOKUP (Excel 2016/2019/365), modern XLOOKUP (Excel 2021/365), and INDEX+MATCH.</t>
        </is>
      </c>
    </row>
    <row r="8"/>
    <row r="9">
      <c r="A9" s="19" t="inlineStr">
        <is>
          <t>📦 MASTER PRODUCT CATALOG (LOOKUP TABLE: $A$11:$E$16)</t>
        </is>
      </c>
    </row>
    <row r="10">
      <c r="A10" s="5" t="inlineStr">
        <is>
          <t>Item Code</t>
        </is>
      </c>
      <c r="B10" s="5" t="inlineStr">
        <is>
          <t>Product Description</t>
        </is>
      </c>
      <c r="C10" s="5" t="inlineStr">
        <is>
          <t>Category</t>
        </is>
      </c>
      <c r="D10" s="5" t="inlineStr">
        <is>
          <t>Unit Cost ($)</t>
        </is>
      </c>
      <c r="E10" s="5" t="inlineStr">
        <is>
          <t>In Stock Qty</t>
        </is>
      </c>
    </row>
    <row r="11">
      <c r="A11" s="6" t="inlineStr">
        <is>
          <t>PRD-101</t>
        </is>
      </c>
      <c r="B11" s="8" t="inlineStr">
        <is>
          <t>MacBook Pro 14"</t>
        </is>
      </c>
      <c r="C11" s="8" t="inlineStr">
        <is>
          <t>Hardware</t>
        </is>
      </c>
      <c r="D11" s="27" t="n">
        <v>1999</v>
      </c>
      <c r="E11" s="26" t="n">
        <v>15</v>
      </c>
    </row>
    <row r="12">
      <c r="A12" s="6" t="inlineStr">
        <is>
          <t>PRD-102</t>
        </is>
      </c>
      <c r="B12" s="8" t="inlineStr">
        <is>
          <t>Dell 4K Monitor</t>
        </is>
      </c>
      <c r="C12" s="8" t="inlineStr">
        <is>
          <t>Displays</t>
        </is>
      </c>
      <c r="D12" s="27" t="n">
        <v>450</v>
      </c>
      <c r="E12" s="26" t="n">
        <v>32</v>
      </c>
    </row>
    <row r="13">
      <c r="A13" s="6" t="inlineStr">
        <is>
          <t>PRD-103</t>
        </is>
      </c>
      <c r="B13" s="8" t="inlineStr">
        <is>
          <t>Ergonomic Office Chair</t>
        </is>
      </c>
      <c r="C13" s="8" t="inlineStr">
        <is>
          <t>Furniture</t>
        </is>
      </c>
      <c r="D13" s="27" t="n">
        <v>280</v>
      </c>
      <c r="E13" s="26" t="n">
        <v>8</v>
      </c>
    </row>
    <row r="14">
      <c r="A14" s="6" t="inlineStr">
        <is>
          <t>PRD-104</t>
        </is>
      </c>
      <c r="B14" s="8" t="inlineStr">
        <is>
          <t>Standing Desk Pro</t>
        </is>
      </c>
      <c r="C14" s="8" t="inlineStr">
        <is>
          <t>Furniture</t>
        </is>
      </c>
      <c r="D14" s="27" t="n">
        <v>520</v>
      </c>
      <c r="E14" s="26" t="n">
        <v>12</v>
      </c>
    </row>
    <row r="15">
      <c r="A15" s="6" t="inlineStr">
        <is>
          <t>PRD-105</t>
        </is>
      </c>
      <c r="B15" s="8" t="inlineStr">
        <is>
          <t>Noise Cancelling Headset</t>
        </is>
      </c>
      <c r="C15" s="8" t="inlineStr">
        <is>
          <t>Audio</t>
        </is>
      </c>
      <c r="D15" s="27" t="n">
        <v>175</v>
      </c>
      <c r="E15" s="26" t="n">
        <v>45</v>
      </c>
    </row>
    <row r="16">
      <c r="A16" s="6" t="inlineStr">
        <is>
          <t>PRD-106</t>
        </is>
      </c>
      <c r="B16" s="8" t="inlineStr">
        <is>
          <t>Wireless Mechanical Keyboard</t>
        </is>
      </c>
      <c r="C16" s="8" t="inlineStr">
        <is>
          <t>Accessories</t>
        </is>
      </c>
      <c r="D16" s="27" t="n">
        <v>95</v>
      </c>
      <c r="E16" s="26" t="n">
        <v>60</v>
      </c>
    </row>
    <row r="17"/>
    <row r="18"/>
    <row r="19">
      <c r="A19" s="19" t="inlineStr">
        <is>
          <t>🛒 CUSTOMER ORDERS (WRITE LOOKUP FORMULAS HERE)</t>
        </is>
      </c>
    </row>
    <row r="20">
      <c r="A20" s="5" t="inlineStr">
        <is>
          <t>Order #</t>
        </is>
      </c>
      <c r="B20" s="5" t="inlineStr">
        <is>
          <t>Look Up Code</t>
        </is>
      </c>
      <c r="C20" s="5" t="inlineStr">
        <is>
          <t>Units Ordered</t>
        </is>
      </c>
      <c r="D20" s="5" t="inlineStr">
        <is>
          <t>[PRACTICE 1] Product Name (VLOOKUP)</t>
        </is>
      </c>
      <c r="E20" s="5" t="inlineStr">
        <is>
          <t>[PRACTICE 2] Unit Cost (XLOOKUP)</t>
        </is>
      </c>
      <c r="F20" s="5" t="inlineStr">
        <is>
          <t>[PRACTICE 3] Stock Qty (INDEX+MATCH)</t>
        </is>
      </c>
      <c r="G20" s="5" t="inlineStr">
        <is>
          <t>[PRACTICE 4] Total Cost</t>
        </is>
      </c>
      <c r="H20" s="5" t="inlineStr">
        <is>
          <t>Validation Check</t>
        </is>
      </c>
    </row>
    <row r="21">
      <c r="A21" s="6" t="inlineStr">
        <is>
          <t>ORD-501</t>
        </is>
      </c>
      <c r="B21" s="6" t="inlineStr">
        <is>
          <t>PRD-102</t>
        </is>
      </c>
      <c r="C21" s="36" t="n">
        <v>3</v>
      </c>
      <c r="D21" s="34" t="n"/>
      <c r="E21" s="25" t="n"/>
      <c r="F21" s="28" t="n"/>
      <c r="G21" s="25" t="n"/>
      <c r="H21" s="22">
        <f>IF(D21="","🟡 Enter VLOOKUP formula",IF(D21=VLOOKUP(B21,$A$11:$E$16,2,FALSE),"✅ Lookup Match!","❌ Check Table Array"))</f>
        <v/>
      </c>
    </row>
    <row r="22">
      <c r="A22" s="6" t="inlineStr">
        <is>
          <t>ORD-502</t>
        </is>
      </c>
      <c r="B22" s="6" t="inlineStr">
        <is>
          <t>PRD-105</t>
        </is>
      </c>
      <c r="C22" s="36" t="n">
        <v>10</v>
      </c>
      <c r="D22" s="34" t="n"/>
      <c r="E22" s="25" t="n"/>
      <c r="F22" s="28" t="n"/>
      <c r="G22" s="25" t="n"/>
      <c r="H22" s="22">
        <f>IF(D22="","🟡 Enter VLOOKUP formula",IF(D22=VLOOKUP(B22,$A$11:$E$16,2,FALSE),"✅ Lookup Match!","❌ Check Table Array"))</f>
        <v/>
      </c>
    </row>
    <row r="23">
      <c r="A23" s="6" t="inlineStr">
        <is>
          <t>ORD-503</t>
        </is>
      </c>
      <c r="B23" s="6" t="inlineStr">
        <is>
          <t>PRD-101</t>
        </is>
      </c>
      <c r="C23" s="36" t="n">
        <v>2</v>
      </c>
      <c r="D23" s="34" t="n"/>
      <c r="E23" s="25" t="n"/>
      <c r="F23" s="28" t="n"/>
      <c r="G23" s="25" t="n"/>
      <c r="H23" s="22">
        <f>IF(D23="","🟡 Enter VLOOKUP formula",IF(D23=VLOOKUP(B23,$A$11:$E$16,2,FALSE),"✅ Lookup Match!","❌ Check Table Array"))</f>
        <v/>
      </c>
    </row>
    <row r="24">
      <c r="A24" s="6" t="inlineStr">
        <is>
          <t>ORD-504</t>
        </is>
      </c>
      <c r="B24" s="6" t="inlineStr">
        <is>
          <t>PRD-104</t>
        </is>
      </c>
      <c r="C24" s="36" t="n">
        <v>4</v>
      </c>
      <c r="D24" s="34" t="n"/>
      <c r="E24" s="25" t="n"/>
      <c r="F24" s="28" t="n"/>
      <c r="G24" s="25" t="n"/>
      <c r="H24" s="22">
        <f>IF(D24="","🟡 Enter VLOOKUP formula",IF(D24=VLOOKUP(B24,$A$11:$E$16,2,FALSE),"✅ Lookup Match!","❌ Check Table Array"))</f>
        <v/>
      </c>
    </row>
    <row r="25">
      <c r="A25" s="6" t="inlineStr">
        <is>
          <t>ORD-505</t>
        </is>
      </c>
      <c r="B25" s="6" t="inlineStr">
        <is>
          <t>PRD-999</t>
        </is>
      </c>
      <c r="C25" s="36" t="n">
        <v>1</v>
      </c>
      <c r="D25" s="34" t="n"/>
      <c r="E25" s="25" t="n"/>
      <c r="F25" s="28" t="n"/>
      <c r="G25" s="25" t="n"/>
      <c r="H25" s="22">
        <f>IF(D25="","🟡 Test IFERROR for invalid code",IF(ISERROR(D25),"⚠️ Shows #N/A (Wrap in IFERROR!)","✅ Error Handled!"))</f>
        <v/>
      </c>
    </row>
    <row r="26"/>
    <row r="27"/>
    <row r="28">
      <c r="A28" s="19" t="inlineStr">
        <is>
          <t>📖 EXACT FORMULAS FOR THIS EXERCISE:</t>
        </is>
      </c>
    </row>
    <row r="29">
      <c r="A29" s="3" t="inlineStr">
        <is>
          <t>VLOOKUP Syntax</t>
        </is>
      </c>
      <c r="C29" s="33">
        <f>VLOOKUP(B21, $A$11:$E$16, 2, FALSE)</f>
        <v/>
      </c>
      <c r="F29" s="4" t="inlineStr">
        <is>
          <t>Lookup B21 in catalog, return 2nd column (Description), FALSE for exact match</t>
        </is>
      </c>
    </row>
    <row r="30">
      <c r="A30" s="3" t="inlineStr">
        <is>
          <t>XLOOKUP Syntax</t>
        </is>
      </c>
      <c r="C30" s="33">
        <f>XLOOKUP(B21, $A$11:$A$16, $D$11:$D$16, "Not Found")</f>
        <v/>
      </c>
      <c r="F30" s="4" t="inlineStr">
        <is>
          <t>Look in Codes array, return from Cost array, friendly fallback text if missing!</t>
        </is>
      </c>
    </row>
    <row r="31">
      <c r="A31" s="3" t="inlineStr">
        <is>
          <t>INDEX + MATCH</t>
        </is>
      </c>
      <c r="C31" s="33">
        <f>INDEX($E$11:$E$16, MATCH(B21, $A$11:$A$16, 0))</f>
        <v/>
      </c>
      <c r="F31" s="4" t="inlineStr">
        <is>
          <t>MATCH finds row number of code; INDEX returns corresponding stock quantity</t>
        </is>
      </c>
    </row>
    <row r="32">
      <c r="A32" s="3" t="inlineStr">
        <is>
          <t>Total Cost</t>
        </is>
      </c>
      <c r="C32" s="33">
        <f>C21 * E21</f>
        <v/>
      </c>
      <c r="F32" s="4" t="inlineStr">
        <is>
          <t>Multiply Units Ordered by Looked-up Unit Cost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3" customWidth="1" min="3" max="3"/>
    <col width="45" customWidth="1" min="4" max="4"/>
    <col width="45" customWidth="1" min="5" max="5"/>
    <col width="35" customWidth="1" min="6" max="6"/>
    <col width="28" customWidth="1" min="7" max="7"/>
    <col width="45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📅 MODULE 5: DATE FUNCTIONS &amp; CONDITIONAL FORMATTING</t>
        </is>
      </c>
    </row>
    <row r="3">
      <c r="A3" s="2" t="inlineStr">
        <is>
          <t>Module Focus: 5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Project Management Office deadline tracker. Monitor days overdue, tenure in years, and visually flag risk.</t>
        </is>
      </c>
    </row>
    <row r="7">
      <c r="A7" s="4" t="inlineStr">
        <is>
          <t>Formulas: TODAY(), NOW(), DATEDIF(), YEAR(), MONTH(), DAY(), NETWORKDAYS().</t>
        </is>
      </c>
    </row>
    <row r="8"/>
    <row r="9">
      <c r="A9" s="5" t="inlineStr">
        <is>
          <t>Project Task</t>
        </is>
      </c>
      <c r="B9" s="5" t="inlineStr">
        <is>
          <t>Assigned Lead</t>
        </is>
      </c>
      <c r="C9" s="5" t="inlineStr">
        <is>
          <t>Start Date</t>
        </is>
      </c>
      <c r="D9" s="5" t="inlineStr">
        <is>
          <t>Target Due Date</t>
        </is>
      </c>
      <c r="E9" s="5" t="inlineStr">
        <is>
          <t>[PRACTICE 1] Days Remaining (=Due - TODAY())</t>
        </is>
      </c>
      <c r="F9" s="5" t="inlineStr">
        <is>
          <t>[PRACTICE 2] Overdue Status (IF)</t>
        </is>
      </c>
      <c r="G9" s="5" t="inlineStr">
        <is>
          <t>[PRACTICE 3] Year Started</t>
        </is>
      </c>
      <c r="H9" s="5" t="inlineStr">
        <is>
          <t>[PRACTICE 4] Workdays Allocated (NETWORKDAYS)</t>
        </is>
      </c>
    </row>
    <row r="10">
      <c r="A10" s="8" t="inlineStr">
        <is>
          <t>Cloud Infrastructure Migration</t>
        </is>
      </c>
      <c r="B10" s="8" t="inlineStr">
        <is>
          <t>Daniel Kalu</t>
        </is>
      </c>
      <c r="C10" s="6" t="inlineStr">
        <is>
          <t>2026-01-10</t>
        </is>
      </c>
      <c r="D10" s="6" t="inlineStr">
        <is>
          <t>2026-06-30</t>
        </is>
      </c>
      <c r="E10" s="21" t="n"/>
      <c r="F10" s="21" t="n"/>
      <c r="G10" s="21" t="n"/>
      <c r="H10" s="21" t="n"/>
    </row>
    <row r="11">
      <c r="A11" s="8" t="inlineStr">
        <is>
          <t>Financial Year-End Audit Prep</t>
        </is>
      </c>
      <c r="B11" s="8" t="inlineStr">
        <is>
          <t>Chidinma Eze</t>
        </is>
      </c>
      <c r="C11" s="6" t="inlineStr">
        <is>
          <t>2026-03-01</t>
        </is>
      </c>
      <c r="D11" s="6" t="inlineStr">
        <is>
          <t>2026-05-15</t>
        </is>
      </c>
      <c r="E11" s="21" t="n"/>
      <c r="F11" s="21" t="n"/>
      <c r="G11" s="21" t="n"/>
      <c r="H11" s="21" t="n"/>
    </row>
    <row r="12">
      <c r="A12" s="8" t="inlineStr">
        <is>
          <t>New CRM Onboarding &amp; Training</t>
        </is>
      </c>
      <c r="B12" s="8" t="inlineStr">
        <is>
          <t>Ada Okonkwo</t>
        </is>
      </c>
      <c r="C12" s="6" t="inlineStr">
        <is>
          <t>2026-04-15</t>
        </is>
      </c>
      <c r="D12" s="6" t="inlineStr">
        <is>
          <t>2026-08-30</t>
        </is>
      </c>
      <c r="E12" s="21" t="n"/>
      <c r="F12" s="21" t="n"/>
      <c r="G12" s="21" t="n"/>
      <c r="H12" s="21" t="n"/>
    </row>
    <row r="13">
      <c r="A13" s="8" t="inlineStr">
        <is>
          <t>Cybersecurity Compliance Audit</t>
        </is>
      </c>
      <c r="B13" s="8" t="inlineStr">
        <is>
          <t>Victor Adeleke</t>
        </is>
      </c>
      <c r="C13" s="6" t="inlineStr">
        <is>
          <t>2025-11-01</t>
        </is>
      </c>
      <c r="D13" s="6" t="inlineStr">
        <is>
          <t>2026-04-01</t>
        </is>
      </c>
      <c r="E13" s="21" t="n"/>
      <c r="F13" s="21" t="n"/>
      <c r="G13" s="21" t="n"/>
      <c r="H13" s="21" t="n"/>
    </row>
    <row r="14">
      <c r="A14" s="8" t="inlineStr">
        <is>
          <t>Q3 Marketing Campaign Launch</t>
        </is>
      </c>
      <c r="B14" s="8" t="inlineStr">
        <is>
          <t>Grace Mensah</t>
        </is>
      </c>
      <c r="C14" s="6" t="inlineStr">
        <is>
          <t>2026-05-01</t>
        </is>
      </c>
      <c r="D14" s="6" t="inlineStr">
        <is>
          <t>2026-09-15</t>
        </is>
      </c>
      <c r="E14" s="21" t="n"/>
      <c r="F14" s="21" t="n"/>
      <c r="G14" s="21" t="n"/>
      <c r="H14" s="21" t="n"/>
    </row>
    <row r="15"/>
    <row r="16"/>
    <row r="17">
      <c r="A17" s="19" t="inlineStr">
        <is>
          <t>🎨 CONDITIONAL FORMATTING CHALLENGE:</t>
        </is>
      </c>
    </row>
    <row r="18">
      <c r="A18" s="3" t="inlineStr">
        <is>
          <t>Highlight Overdue Tasks in Soft Red</t>
        </is>
      </c>
      <c r="D18" s="4" t="inlineStr">
        <is>
          <t>Select Column E ➔ Conditional Formatting ➔ Highlight Cells ➔ Less Than ➔ 0</t>
        </is>
      </c>
    </row>
    <row r="19">
      <c r="A19" s="3" t="inlineStr">
        <is>
          <t>Highlight Urgent Tasks (&lt; 30 days) in Yellow</t>
        </is>
      </c>
      <c r="D19" s="4" t="inlineStr">
        <is>
          <t>Conditional Formatting ➔ Highlight Cells ➔ Between ➔ 0 and 30</t>
        </is>
      </c>
    </row>
    <row r="20">
      <c r="A20" s="3" t="inlineStr">
        <is>
          <t>Highlight Healthy Timeline (&gt; 30 days) in Green</t>
        </is>
      </c>
      <c r="D20" s="4" t="inlineStr">
        <is>
          <t>Conditional Formatting ➔ Highlight Cells ➔ Greater Than ➔ 30</t>
        </is>
      </c>
    </row>
    <row r="21">
      <c r="A21" s="3" t="inlineStr">
        <is>
          <t>Data Bars Visual</t>
        </is>
      </c>
      <c r="D21" s="4" t="inlineStr">
        <is>
          <t>Select Column H ➔ Conditional Formatting ➔ Data Bars ➔ Gradient Fill (Blue)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23" customWidth="1" min="4" max="4"/>
    <col width="14" customWidth="1" min="5" max="5"/>
    <col width="13" customWidth="1" min="6" max="6"/>
    <col width="19" customWidth="1" min="7" max="7"/>
    <col width="17" customWidth="1" min="8" max="8"/>
    <col width="20" customWidth="1" min="9" max="9"/>
    <col width="18" customWidth="1" min="10" max="10"/>
    <col width="17" customWidth="1" min="11" max="11"/>
  </cols>
  <sheetData>
    <row r="1">
      <c r="A1" s="12" t="inlineStr">
        <is>
          <t>⬅️ Back to Course Roadmap</t>
        </is>
      </c>
    </row>
    <row r="2">
      <c r="A2" s="1" t="inlineStr">
        <is>
          <t>📊 MODULE 6: RAW TRANSACTION DATASET FOR PIVOT TABLES</t>
        </is>
      </c>
    </row>
    <row r="3">
      <c r="A3" s="2" t="inlineStr">
        <is>
          <t>Module Focus: 6 | Guided Practical Lab</t>
        </is>
      </c>
    </row>
    <row r="4"/>
    <row r="5">
      <c r="A5" s="3" t="inlineStr">
        <is>
          <t>🎯 REAL-LIFE WORKPLACE SCENARIO:</t>
        </is>
      </c>
    </row>
    <row r="6">
      <c r="A6" s="4" t="inlineStr">
        <is>
          <t>Executive Sales Data (100 Transactions). You cannot analyze 100 rows manually. Create a Pivot Table to answer questions in 10 seconds.</t>
        </is>
      </c>
    </row>
    <row r="7">
      <c r="A7" s="4" t="inlineStr">
        <is>
          <t>Instructions: Click inside this data ➔ Go to Insert tab ➔ PivotTable ➔ New Worksheet. Then build reports as guided below!</t>
        </is>
      </c>
    </row>
    <row r="8"/>
    <row r="9">
      <c r="A9" s="5" t="inlineStr">
        <is>
          <t>Transaction ID</t>
        </is>
      </c>
      <c r="B9" s="5" t="inlineStr">
        <is>
          <t>Date</t>
        </is>
      </c>
      <c r="C9" s="5" t="inlineStr">
        <is>
          <t>Region</t>
        </is>
      </c>
      <c r="D9" s="5" t="inlineStr">
        <is>
          <t>Sales Representative</t>
        </is>
      </c>
      <c r="E9" s="5" t="inlineStr">
        <is>
          <t>Category</t>
        </is>
      </c>
      <c r="F9" s="5" t="inlineStr">
        <is>
          <t>Product</t>
        </is>
      </c>
      <c r="G9" s="5" t="inlineStr">
        <is>
          <t>Units</t>
        </is>
      </c>
      <c r="H9" s="5" t="inlineStr">
        <is>
          <t>Unit Price ($)</t>
        </is>
      </c>
      <c r="I9" s="5" t="inlineStr">
        <is>
          <t>Total Revenue ($)</t>
        </is>
      </c>
      <c r="J9" s="5" t="inlineStr">
        <is>
          <t>Profit Margin %</t>
        </is>
      </c>
      <c r="K9" s="5" t="inlineStr">
        <is>
          <t>Net Profit ($)</t>
        </is>
      </c>
    </row>
    <row r="10">
      <c r="A10" s="9" t="inlineStr">
        <is>
          <t>TRX-0010</t>
        </is>
      </c>
      <c r="B10" s="9" t="inlineStr">
        <is>
          <t>2025-01-09</t>
        </is>
      </c>
      <c r="C10" s="9" t="inlineStr">
        <is>
          <t>North</t>
        </is>
      </c>
      <c r="D10" s="11" t="inlineStr">
        <is>
          <t>Wendy Darling</t>
        </is>
      </c>
      <c r="E10" s="11" t="inlineStr">
        <is>
          <t>Electronics</t>
        </is>
      </c>
      <c r="F10" s="11" t="inlineStr">
        <is>
          <t>Laptop</t>
        </is>
      </c>
      <c r="G10" s="37" t="n">
        <v>455.522222222222</v>
      </c>
      <c r="H10" s="24" t="n">
        <v>250</v>
      </c>
      <c r="I10" s="24">
        <f>G10*H10</f>
        <v/>
      </c>
      <c r="J10" s="38" t="n">
        <v>0.25</v>
      </c>
      <c r="K10" s="24">
        <f>I10*J10</f>
        <v/>
      </c>
    </row>
    <row r="11">
      <c r="A11" s="6" t="inlineStr">
        <is>
          <t>TRX-0011</t>
        </is>
      </c>
      <c r="B11" s="6" t="inlineStr">
        <is>
          <t>2025-01-08</t>
        </is>
      </c>
      <c r="C11" s="6" t="inlineStr">
        <is>
          <t>West</t>
        </is>
      </c>
      <c r="D11" s="8" t="inlineStr">
        <is>
          <t>Huck Finn</t>
        </is>
      </c>
      <c r="E11" s="8" t="inlineStr">
        <is>
          <t>Furniture</t>
        </is>
      </c>
      <c r="F11" s="8" t="inlineStr">
        <is>
          <t>Cabinet</t>
        </is>
      </c>
      <c r="G11" s="36" t="n">
        <v>451.072222222222</v>
      </c>
      <c r="H11" s="27" t="n">
        <v>250</v>
      </c>
      <c r="I11" s="27">
        <f>G11*H11</f>
        <v/>
      </c>
      <c r="J11" s="39" t="n">
        <v>0.25</v>
      </c>
      <c r="K11" s="27">
        <f>I11*J11</f>
        <v/>
      </c>
    </row>
    <row r="12">
      <c r="A12" s="9" t="inlineStr">
        <is>
          <t>TRX-0012</t>
        </is>
      </c>
      <c r="B12" s="9" t="inlineStr">
        <is>
          <t>2025-01-08</t>
        </is>
      </c>
      <c r="C12" s="9" t="inlineStr">
        <is>
          <t>East</t>
        </is>
      </c>
      <c r="D12" s="11" t="inlineStr">
        <is>
          <t>John Smith</t>
        </is>
      </c>
      <c r="E12" s="11" t="inlineStr">
        <is>
          <t>Supplies</t>
        </is>
      </c>
      <c r="F12" s="11" t="inlineStr">
        <is>
          <t>Pen</t>
        </is>
      </c>
      <c r="G12" s="37" t="n">
        <v>446.622222222222</v>
      </c>
      <c r="H12" s="24" t="n">
        <v>250</v>
      </c>
      <c r="I12" s="24">
        <f>G12*H12</f>
        <v/>
      </c>
      <c r="J12" s="38" t="n">
        <v>0.25</v>
      </c>
      <c r="K12" s="24">
        <f>I12*J12</f>
        <v/>
      </c>
    </row>
    <row r="13">
      <c r="A13" s="6" t="inlineStr">
        <is>
          <t>TRX-0013</t>
        </is>
      </c>
      <c r="B13" s="6" t="inlineStr">
        <is>
          <t>2025-01-07</t>
        </is>
      </c>
      <c r="C13" s="6" t="inlineStr">
        <is>
          <t>South</t>
        </is>
      </c>
      <c r="D13" s="8" t="inlineStr">
        <is>
          <t>Wendy Darling</t>
        </is>
      </c>
      <c r="E13" s="8" t="inlineStr">
        <is>
          <t>Electronics</t>
        </is>
      </c>
      <c r="F13" s="8" t="inlineStr">
        <is>
          <t>Monitor</t>
        </is>
      </c>
      <c r="G13" s="36" t="n">
        <v>442.172222222222</v>
      </c>
      <c r="H13" s="27" t="n">
        <v>250</v>
      </c>
      <c r="I13" s="27">
        <f>G13*H13</f>
        <v/>
      </c>
      <c r="J13" s="39" t="n">
        <v>0.25</v>
      </c>
      <c r="K13" s="27">
        <f>I13*J13</f>
        <v/>
      </c>
    </row>
    <row r="14">
      <c r="A14" s="9" t="inlineStr">
        <is>
          <t>TRX-0014</t>
        </is>
      </c>
      <c r="B14" s="9" t="inlineStr">
        <is>
          <t>2025-01-07</t>
        </is>
      </c>
      <c r="C14" s="9" t="inlineStr">
        <is>
          <t>North</t>
        </is>
      </c>
      <c r="D14" s="11" t="inlineStr">
        <is>
          <t>Wendy Darling</t>
        </is>
      </c>
      <c r="E14" s="11" t="inlineStr">
        <is>
          <t>Furniture</t>
        </is>
      </c>
      <c r="F14" s="11" t="inlineStr">
        <is>
          <t>Chair</t>
        </is>
      </c>
      <c r="G14" s="37" t="n">
        <v>437.722222222222</v>
      </c>
      <c r="H14" s="24" t="n">
        <v>250</v>
      </c>
      <c r="I14" s="24">
        <f>G14*H14</f>
        <v/>
      </c>
      <c r="J14" s="38" t="n">
        <v>0.25</v>
      </c>
      <c r="K14" s="24">
        <f>I14*J14</f>
        <v/>
      </c>
    </row>
    <row r="15">
      <c r="A15" s="6" t="inlineStr">
        <is>
          <t>TRX-0015</t>
        </is>
      </c>
      <c r="B15" s="6" t="inlineStr">
        <is>
          <t>2025-01-06</t>
        </is>
      </c>
      <c r="C15" s="6" t="inlineStr">
        <is>
          <t>West</t>
        </is>
      </c>
      <c r="D15" s="8" t="inlineStr">
        <is>
          <t>Peter Pan</t>
        </is>
      </c>
      <c r="E15" s="8" t="inlineStr">
        <is>
          <t>Supplies</t>
        </is>
      </c>
      <c r="F15" s="8" t="inlineStr">
        <is>
          <t>Paper</t>
        </is>
      </c>
      <c r="G15" s="36" t="n">
        <v>433.272222222222</v>
      </c>
      <c r="H15" s="27" t="n">
        <v>250</v>
      </c>
      <c r="I15" s="27">
        <f>G15*H15</f>
        <v/>
      </c>
      <c r="J15" s="39" t="n">
        <v>0.25</v>
      </c>
      <c r="K15" s="27">
        <f>I15*J15</f>
        <v/>
      </c>
    </row>
    <row r="16">
      <c r="A16" s="9" t="inlineStr">
        <is>
          <t>TRX-0016</t>
        </is>
      </c>
      <c r="B16" s="9" t="inlineStr">
        <is>
          <t>2025-01-06</t>
        </is>
      </c>
      <c r="C16" s="9" t="inlineStr">
        <is>
          <t>East</t>
        </is>
      </c>
      <c r="D16" s="11" t="inlineStr">
        <is>
          <t>Huck Finn</t>
        </is>
      </c>
      <c r="E16" s="11" t="inlineStr">
        <is>
          <t>Electronics</t>
        </is>
      </c>
      <c r="F16" s="11" t="inlineStr">
        <is>
          <t>Mouse</t>
        </is>
      </c>
      <c r="G16" s="37" t="n">
        <v>428.822222222222</v>
      </c>
      <c r="H16" s="24" t="n">
        <v>250</v>
      </c>
      <c r="I16" s="24">
        <f>G16*H16</f>
        <v/>
      </c>
      <c r="J16" s="38" t="n">
        <v>0.25</v>
      </c>
      <c r="K16" s="24">
        <f>I16*J16</f>
        <v/>
      </c>
    </row>
    <row r="17">
      <c r="A17" s="6" t="inlineStr">
        <is>
          <t>TRX-0017</t>
        </is>
      </c>
      <c r="B17" s="6" t="inlineStr">
        <is>
          <t>2025-01-05</t>
        </is>
      </c>
      <c r="C17" s="6" t="inlineStr">
        <is>
          <t>South</t>
        </is>
      </c>
      <c r="D17" s="8" t="inlineStr">
        <is>
          <t>James Hook</t>
        </is>
      </c>
      <c r="E17" s="8" t="inlineStr">
        <is>
          <t>Furniture</t>
        </is>
      </c>
      <c r="F17" s="8" t="inlineStr">
        <is>
          <t>Desk</t>
        </is>
      </c>
      <c r="G17" s="36" t="n">
        <v>424.372222222222</v>
      </c>
      <c r="H17" s="27" t="n">
        <v>250</v>
      </c>
      <c r="I17" s="27">
        <f>G17*H17</f>
        <v/>
      </c>
      <c r="J17" s="39" t="n">
        <v>0.25</v>
      </c>
      <c r="K17" s="27">
        <f>I17*J17</f>
        <v/>
      </c>
    </row>
    <row r="18">
      <c r="A18" s="9" t="inlineStr">
        <is>
          <t>TRX-0018</t>
        </is>
      </c>
      <c r="B18" s="9" t="inlineStr">
        <is>
          <t>2025-01-05</t>
        </is>
      </c>
      <c r="C18" s="9" t="inlineStr">
        <is>
          <t>North</t>
        </is>
      </c>
      <c r="D18" s="11" t="inlineStr">
        <is>
          <t>Tom Sawyer</t>
        </is>
      </c>
      <c r="E18" s="11" t="inlineStr">
        <is>
          <t>Electronics</t>
        </is>
      </c>
      <c r="F18" s="11" t="inlineStr">
        <is>
          <t>Laptop</t>
        </is>
      </c>
      <c r="G18" s="37" t="n">
        <v>419.922222222222</v>
      </c>
      <c r="H18" s="24" t="n">
        <v>250</v>
      </c>
      <c r="I18" s="24">
        <f>G18*H18</f>
        <v/>
      </c>
      <c r="J18" s="38" t="n">
        <v>0.25</v>
      </c>
      <c r="K18" s="24">
        <f>I18*J18</f>
        <v/>
      </c>
    </row>
    <row r="19">
      <c r="A19" s="6" t="inlineStr">
        <is>
          <t>TRX-0019</t>
        </is>
      </c>
      <c r="B19" s="6" t="inlineStr">
        <is>
          <t>2025-01-09</t>
        </is>
      </c>
      <c r="C19" s="6" t="inlineStr">
        <is>
          <t>South</t>
        </is>
      </c>
      <c r="D19" s="8" t="inlineStr">
        <is>
          <t>James Hook</t>
        </is>
      </c>
      <c r="E19" s="8" t="inlineStr">
        <is>
          <t>Electronics</t>
        </is>
      </c>
      <c r="F19" s="8" t="inlineStr">
        <is>
          <t>Headphones</t>
        </is>
      </c>
      <c r="G19" s="36" t="n">
        <v>415.472222222222</v>
      </c>
      <c r="H19" s="27" t="n">
        <v>250</v>
      </c>
      <c r="I19" s="27">
        <f>G19*H19</f>
        <v/>
      </c>
      <c r="J19" s="39" t="n">
        <v>0.25</v>
      </c>
      <c r="K19" s="27">
        <f>I19*J19</f>
        <v/>
      </c>
    </row>
    <row r="20">
      <c r="A20" s="9" t="inlineStr">
        <is>
          <t>TRX-0020</t>
        </is>
      </c>
      <c r="B20" s="9" t="inlineStr">
        <is>
          <t>2025-01-09</t>
        </is>
      </c>
      <c r="C20" s="9" t="inlineStr">
        <is>
          <t>North</t>
        </is>
      </c>
      <c r="D20" s="11" t="inlineStr">
        <is>
          <t>Wendy Darling</t>
        </is>
      </c>
      <c r="E20" s="11" t="inlineStr">
        <is>
          <t>Electronics</t>
        </is>
      </c>
      <c r="F20" s="11" t="inlineStr">
        <is>
          <t>Laptop</t>
        </is>
      </c>
      <c r="G20" s="37" t="n">
        <v>411.022222222222</v>
      </c>
      <c r="H20" s="24" t="n">
        <v>250</v>
      </c>
      <c r="I20" s="24">
        <f>G20*H20</f>
        <v/>
      </c>
      <c r="J20" s="38" t="n">
        <v>0.25</v>
      </c>
      <c r="K20" s="24">
        <f>I20*J20</f>
        <v/>
      </c>
    </row>
    <row r="21">
      <c r="A21" s="6" t="inlineStr">
        <is>
          <t>TRX-0021</t>
        </is>
      </c>
      <c r="B21" s="6" t="inlineStr">
        <is>
          <t>2025-01-08</t>
        </is>
      </c>
      <c r="C21" s="6" t="inlineStr">
        <is>
          <t>West</t>
        </is>
      </c>
      <c r="D21" s="8" t="inlineStr">
        <is>
          <t>Huck Finn</t>
        </is>
      </c>
      <c r="E21" s="8" t="inlineStr">
        <is>
          <t>Furniture</t>
        </is>
      </c>
      <c r="F21" s="8" t="inlineStr">
        <is>
          <t>Cabinet</t>
        </is>
      </c>
      <c r="G21" s="36" t="n">
        <v>406.572222222222</v>
      </c>
      <c r="H21" s="27" t="n">
        <v>250</v>
      </c>
      <c r="I21" s="27">
        <f>G21*H21</f>
        <v/>
      </c>
      <c r="J21" s="39" t="n">
        <v>0.25</v>
      </c>
      <c r="K21" s="27">
        <f>I21*J21</f>
        <v/>
      </c>
    </row>
    <row r="22">
      <c r="A22" s="9" t="inlineStr">
        <is>
          <t>TRX-0022</t>
        </is>
      </c>
      <c r="B22" s="9" t="inlineStr">
        <is>
          <t>2025-01-08</t>
        </is>
      </c>
      <c r="C22" s="9" t="inlineStr">
        <is>
          <t>East</t>
        </is>
      </c>
      <c r="D22" s="11" t="inlineStr">
        <is>
          <t>Wendy Darling</t>
        </is>
      </c>
      <c r="E22" s="11" t="inlineStr">
        <is>
          <t>Supplies</t>
        </is>
      </c>
      <c r="F22" s="11" t="inlineStr">
        <is>
          <t>Pen</t>
        </is>
      </c>
      <c r="G22" s="37" t="n">
        <v>402.122222222222</v>
      </c>
      <c r="H22" s="24" t="n">
        <v>250</v>
      </c>
      <c r="I22" s="24">
        <f>G22*H22</f>
        <v/>
      </c>
      <c r="J22" s="38" t="n">
        <v>0.25</v>
      </c>
      <c r="K22" s="24">
        <f>I22*J22</f>
        <v/>
      </c>
    </row>
    <row r="23">
      <c r="A23" s="6" t="inlineStr">
        <is>
          <t>TRX-0023</t>
        </is>
      </c>
      <c r="B23" s="6" t="inlineStr">
        <is>
          <t>2025-01-07</t>
        </is>
      </c>
      <c r="C23" s="6" t="inlineStr">
        <is>
          <t>South</t>
        </is>
      </c>
      <c r="D23" s="8" t="inlineStr">
        <is>
          <t>John Smith</t>
        </is>
      </c>
      <c r="E23" s="8" t="inlineStr">
        <is>
          <t>Electronics</t>
        </is>
      </c>
      <c r="F23" s="8" t="inlineStr">
        <is>
          <t>Monitor</t>
        </is>
      </c>
      <c r="G23" s="36" t="n">
        <v>397.672222222222</v>
      </c>
      <c r="H23" s="27" t="n">
        <v>250</v>
      </c>
      <c r="I23" s="27">
        <f>G23*H23</f>
        <v/>
      </c>
      <c r="J23" s="39" t="n">
        <v>0.25</v>
      </c>
      <c r="K23" s="27">
        <f>I23*J23</f>
        <v/>
      </c>
    </row>
    <row r="24">
      <c r="A24" s="9" t="inlineStr">
        <is>
          <t>TRX-0024</t>
        </is>
      </c>
      <c r="B24" s="9" t="inlineStr">
        <is>
          <t>2025-01-07</t>
        </is>
      </c>
      <c r="C24" s="9" t="inlineStr">
        <is>
          <t>North</t>
        </is>
      </c>
      <c r="D24" s="11" t="inlineStr">
        <is>
          <t>Mary Jones</t>
        </is>
      </c>
      <c r="E24" s="11" t="inlineStr">
        <is>
          <t>Furniture</t>
        </is>
      </c>
      <c r="F24" s="11" t="inlineStr">
        <is>
          <t>Chair</t>
        </is>
      </c>
      <c r="G24" s="37" t="n">
        <v>393.222222222222</v>
      </c>
      <c r="H24" s="24" t="n">
        <v>250</v>
      </c>
      <c r="I24" s="24">
        <f>G24*H24</f>
        <v/>
      </c>
      <c r="J24" s="38" t="n">
        <v>0.25</v>
      </c>
      <c r="K24" s="24">
        <f>I24*J24</f>
        <v/>
      </c>
    </row>
    <row r="25">
      <c r="A25" s="6" t="inlineStr">
        <is>
          <t>TRX-0025</t>
        </is>
      </c>
      <c r="B25" s="6" t="inlineStr">
        <is>
          <t>2025-01-06</t>
        </is>
      </c>
      <c r="C25" s="6" t="inlineStr">
        <is>
          <t>West</t>
        </is>
      </c>
      <c r="D25" s="8" t="inlineStr">
        <is>
          <t>James Hook</t>
        </is>
      </c>
      <c r="E25" s="8" t="inlineStr">
        <is>
          <t>Supplies</t>
        </is>
      </c>
      <c r="F25" s="8" t="inlineStr">
        <is>
          <t>Paper</t>
        </is>
      </c>
      <c r="G25" s="36" t="n">
        <v>388.772222222222</v>
      </c>
      <c r="H25" s="27" t="n">
        <v>250</v>
      </c>
      <c r="I25" s="27">
        <f>G25*H25</f>
        <v/>
      </c>
      <c r="J25" s="39" t="n">
        <v>0.25</v>
      </c>
      <c r="K25" s="27">
        <f>I25*J25</f>
        <v/>
      </c>
    </row>
    <row r="26">
      <c r="A26" s="9" t="inlineStr">
        <is>
          <t>TRX-0026</t>
        </is>
      </c>
      <c r="B26" s="9" t="inlineStr">
        <is>
          <t>2025-01-06</t>
        </is>
      </c>
      <c r="C26" s="9" t="inlineStr">
        <is>
          <t>East</t>
        </is>
      </c>
      <c r="D26" s="11" t="inlineStr">
        <is>
          <t>Sarah Connor</t>
        </is>
      </c>
      <c r="E26" s="11" t="inlineStr">
        <is>
          <t>Electronics</t>
        </is>
      </c>
      <c r="F26" s="11" t="inlineStr">
        <is>
          <t>Mouse</t>
        </is>
      </c>
      <c r="G26" s="37" t="n">
        <v>384.322222222222</v>
      </c>
      <c r="H26" s="24" t="n">
        <v>250</v>
      </c>
      <c r="I26" s="24">
        <f>G26*H26</f>
        <v/>
      </c>
      <c r="J26" s="38" t="n">
        <v>0.25</v>
      </c>
      <c r="K26" s="24">
        <f>I26*J26</f>
        <v/>
      </c>
    </row>
    <row r="27">
      <c r="A27" s="6" t="inlineStr">
        <is>
          <t>TRX-0027</t>
        </is>
      </c>
      <c r="B27" s="6" t="inlineStr">
        <is>
          <t>2025-01-05</t>
        </is>
      </c>
      <c r="C27" s="6" t="inlineStr">
        <is>
          <t>South</t>
        </is>
      </c>
      <c r="D27" s="8" t="inlineStr">
        <is>
          <t>Wendy Darling</t>
        </is>
      </c>
      <c r="E27" s="8" t="inlineStr">
        <is>
          <t>Furniture</t>
        </is>
      </c>
      <c r="F27" s="8" t="inlineStr">
        <is>
          <t>Desk</t>
        </is>
      </c>
      <c r="G27" s="36" t="n">
        <v>379.872222222222</v>
      </c>
      <c r="H27" s="27" t="n">
        <v>250</v>
      </c>
      <c r="I27" s="27">
        <f>G27*H27</f>
        <v/>
      </c>
      <c r="J27" s="39" t="n">
        <v>0.25</v>
      </c>
      <c r="K27" s="27">
        <f>I27*J27</f>
        <v/>
      </c>
    </row>
    <row r="28">
      <c r="A28" s="9" t="inlineStr">
        <is>
          <t>TRX-0028</t>
        </is>
      </c>
      <c r="B28" s="9" t="inlineStr">
        <is>
          <t>2025-01-05</t>
        </is>
      </c>
      <c r="C28" s="9" t="inlineStr">
        <is>
          <t>North</t>
        </is>
      </c>
      <c r="D28" s="11" t="inlineStr">
        <is>
          <t>James Hook</t>
        </is>
      </c>
      <c r="E28" s="11" t="inlineStr">
        <is>
          <t>Electronics</t>
        </is>
      </c>
      <c r="F28" s="11" t="inlineStr">
        <is>
          <t>Laptop</t>
        </is>
      </c>
      <c r="G28" s="37" t="n">
        <v>375.422222222222</v>
      </c>
      <c r="H28" s="24" t="n">
        <v>250</v>
      </c>
      <c r="I28" s="24">
        <f>G28*H28</f>
        <v/>
      </c>
      <c r="J28" s="38" t="n">
        <v>0.25</v>
      </c>
      <c r="K28" s="24">
        <f>I28*J28</f>
        <v/>
      </c>
    </row>
    <row r="29">
      <c r="A29" s="6" t="inlineStr">
        <is>
          <t>TRX-0029</t>
        </is>
      </c>
      <c r="B29" s="6" t="inlineStr">
        <is>
          <t>2025-01-09</t>
        </is>
      </c>
      <c r="C29" s="6" t="inlineStr">
        <is>
          <t>South</t>
        </is>
      </c>
      <c r="D29" s="8" t="inlineStr">
        <is>
          <t>Wendy Darling</t>
        </is>
      </c>
      <c r="E29" s="8" t="inlineStr">
        <is>
          <t>Electronics</t>
        </is>
      </c>
      <c r="F29" s="8" t="inlineStr">
        <is>
          <t>Headphones</t>
        </is>
      </c>
      <c r="G29" s="36" t="n">
        <v>370.972222222222</v>
      </c>
      <c r="H29" s="27" t="n">
        <v>250</v>
      </c>
      <c r="I29" s="27">
        <f>G29*H29</f>
        <v/>
      </c>
      <c r="J29" s="39" t="n">
        <v>0.25</v>
      </c>
      <c r="K29" s="27">
        <f>I29*J29</f>
        <v/>
      </c>
    </row>
    <row r="30">
      <c r="A30" s="9" t="inlineStr">
        <is>
          <t>TRX-0030</t>
        </is>
      </c>
      <c r="B30" s="9" t="inlineStr">
        <is>
          <t>2025-01-09</t>
        </is>
      </c>
      <c r="C30" s="9" t="inlineStr">
        <is>
          <t>North</t>
        </is>
      </c>
      <c r="D30" s="11" t="inlineStr">
        <is>
          <t>Wendy Darling</t>
        </is>
      </c>
      <c r="E30" s="11" t="inlineStr">
        <is>
          <t>Electronics</t>
        </is>
      </c>
      <c r="F30" s="11" t="inlineStr">
        <is>
          <t>Laptop</t>
        </is>
      </c>
      <c r="G30" s="37" t="n">
        <v>366.522222222222</v>
      </c>
      <c r="H30" s="24" t="n">
        <v>250</v>
      </c>
      <c r="I30" s="24">
        <f>G30*H30</f>
        <v/>
      </c>
      <c r="J30" s="38" t="n">
        <v>0.25</v>
      </c>
      <c r="K30" s="24">
        <f>I30*J30</f>
        <v/>
      </c>
    </row>
    <row r="31">
      <c r="A31" s="6" t="inlineStr">
        <is>
          <t>TRX-0031</t>
        </is>
      </c>
      <c r="B31" s="6" t="inlineStr">
        <is>
          <t>2025-01-08</t>
        </is>
      </c>
      <c r="C31" s="6" t="inlineStr">
        <is>
          <t>West</t>
        </is>
      </c>
      <c r="D31" s="8" t="inlineStr">
        <is>
          <t>Wendy Darling</t>
        </is>
      </c>
      <c r="E31" s="8" t="inlineStr">
        <is>
          <t>Furniture</t>
        </is>
      </c>
      <c r="F31" s="8" t="inlineStr">
        <is>
          <t>Cabinet</t>
        </is>
      </c>
      <c r="G31" s="36" t="n">
        <v>362.072222222222</v>
      </c>
      <c r="H31" s="27" t="n">
        <v>250</v>
      </c>
      <c r="I31" s="27">
        <f>G31*H31</f>
        <v/>
      </c>
      <c r="J31" s="39" t="n">
        <v>0.25</v>
      </c>
      <c r="K31" s="27">
        <f>I31*J31</f>
        <v/>
      </c>
    </row>
    <row r="32">
      <c r="A32" s="9" t="inlineStr">
        <is>
          <t>TRX-0032</t>
        </is>
      </c>
      <c r="B32" s="9" t="inlineStr">
        <is>
          <t>2025-01-08</t>
        </is>
      </c>
      <c r="C32" s="9" t="inlineStr">
        <is>
          <t>East</t>
        </is>
      </c>
      <c r="D32" s="11" t="inlineStr">
        <is>
          <t>James Hook</t>
        </is>
      </c>
      <c r="E32" s="11" t="inlineStr">
        <is>
          <t>Supplies</t>
        </is>
      </c>
      <c r="F32" s="11" t="inlineStr">
        <is>
          <t>Pen</t>
        </is>
      </c>
      <c r="G32" s="37" t="n">
        <v>357.622222222222</v>
      </c>
      <c r="H32" s="24" t="n">
        <v>250</v>
      </c>
      <c r="I32" s="24">
        <f>G32*H32</f>
        <v/>
      </c>
      <c r="J32" s="38" t="n">
        <v>0.25</v>
      </c>
      <c r="K32" s="24">
        <f>I32*J32</f>
        <v/>
      </c>
    </row>
    <row r="33">
      <c r="A33" s="6" t="inlineStr">
        <is>
          <t>TRX-0033</t>
        </is>
      </c>
      <c r="B33" s="6" t="inlineStr">
        <is>
          <t>2025-01-07</t>
        </is>
      </c>
      <c r="C33" s="6" t="inlineStr">
        <is>
          <t>South</t>
        </is>
      </c>
      <c r="D33" s="8" t="inlineStr">
        <is>
          <t>Lisa Frank</t>
        </is>
      </c>
      <c r="E33" s="8" t="inlineStr">
        <is>
          <t>Electronics</t>
        </is>
      </c>
      <c r="F33" s="8" t="inlineStr">
        <is>
          <t>Monitor</t>
        </is>
      </c>
      <c r="G33" s="36" t="n">
        <v>353.172222222222</v>
      </c>
      <c r="H33" s="27" t="n">
        <v>250</v>
      </c>
      <c r="I33" s="27">
        <f>G33*H33</f>
        <v/>
      </c>
      <c r="J33" s="39" t="n">
        <v>0.25</v>
      </c>
      <c r="K33" s="27">
        <f>I33*J33</f>
        <v/>
      </c>
    </row>
    <row r="34">
      <c r="A34" s="9" t="inlineStr">
        <is>
          <t>TRX-0034</t>
        </is>
      </c>
      <c r="B34" s="9" t="inlineStr">
        <is>
          <t>2025-01-07</t>
        </is>
      </c>
      <c r="C34" s="9" t="inlineStr">
        <is>
          <t>North</t>
        </is>
      </c>
      <c r="D34" s="11" t="inlineStr">
        <is>
          <t>Huck Finn</t>
        </is>
      </c>
      <c r="E34" s="11" t="inlineStr">
        <is>
          <t>Furniture</t>
        </is>
      </c>
      <c r="F34" s="11" t="inlineStr">
        <is>
          <t>Chair</t>
        </is>
      </c>
      <c r="G34" s="37" t="n">
        <v>348.722222222222</v>
      </c>
      <c r="H34" s="24" t="n">
        <v>250</v>
      </c>
      <c r="I34" s="24">
        <f>G34*H34</f>
        <v/>
      </c>
      <c r="J34" s="38" t="n">
        <v>0.25</v>
      </c>
      <c r="K34" s="24">
        <f>I34*J34</f>
        <v/>
      </c>
    </row>
    <row r="35">
      <c r="A35" s="6" t="inlineStr">
        <is>
          <t>TRX-0035</t>
        </is>
      </c>
      <c r="B35" s="6" t="inlineStr">
        <is>
          <t>2025-01-06</t>
        </is>
      </c>
      <c r="C35" s="6" t="inlineStr">
        <is>
          <t>West</t>
        </is>
      </c>
      <c r="D35" s="8" t="inlineStr">
        <is>
          <t>Peter Pan</t>
        </is>
      </c>
      <c r="E35" s="8" t="inlineStr">
        <is>
          <t>Supplies</t>
        </is>
      </c>
      <c r="F35" s="8" t="inlineStr">
        <is>
          <t>Paper</t>
        </is>
      </c>
      <c r="G35" s="36" t="n">
        <v>344.272222222222</v>
      </c>
      <c r="H35" s="27" t="n">
        <v>250</v>
      </c>
      <c r="I35" s="27">
        <f>G35*H35</f>
        <v/>
      </c>
      <c r="J35" s="39" t="n">
        <v>0.25</v>
      </c>
      <c r="K35" s="27">
        <f>I35*J35</f>
        <v/>
      </c>
    </row>
    <row r="36">
      <c r="A36" s="9" t="inlineStr">
        <is>
          <t>TRX-0036</t>
        </is>
      </c>
      <c r="B36" s="9" t="inlineStr">
        <is>
          <t>2025-01-06</t>
        </is>
      </c>
      <c r="C36" s="9" t="inlineStr">
        <is>
          <t>East</t>
        </is>
      </c>
      <c r="D36" s="11" t="inlineStr">
        <is>
          <t>James Hook</t>
        </is>
      </c>
      <c r="E36" s="11" t="inlineStr">
        <is>
          <t>Electronics</t>
        </is>
      </c>
      <c r="F36" s="11" t="inlineStr">
        <is>
          <t>Mouse</t>
        </is>
      </c>
      <c r="G36" s="37" t="n">
        <v>339.822222222222</v>
      </c>
      <c r="H36" s="24" t="n">
        <v>250</v>
      </c>
      <c r="I36" s="24">
        <f>G36*H36</f>
        <v/>
      </c>
      <c r="J36" s="38" t="n">
        <v>0.25</v>
      </c>
      <c r="K36" s="24">
        <f>I36*J36</f>
        <v/>
      </c>
    </row>
    <row r="37">
      <c r="A37" s="6" t="inlineStr">
        <is>
          <t>TRX-0037</t>
        </is>
      </c>
      <c r="B37" s="6" t="inlineStr">
        <is>
          <t>2025-01-05</t>
        </is>
      </c>
      <c r="C37" s="6" t="inlineStr">
        <is>
          <t>South</t>
        </is>
      </c>
      <c r="D37" s="8" t="inlineStr">
        <is>
          <t>Wendy Darling</t>
        </is>
      </c>
      <c r="E37" s="8" t="inlineStr">
        <is>
          <t>Furniture</t>
        </is>
      </c>
      <c r="F37" s="8" t="inlineStr">
        <is>
          <t>Desk</t>
        </is>
      </c>
      <c r="G37" s="36" t="n">
        <v>335.372222222222</v>
      </c>
      <c r="H37" s="27" t="n">
        <v>250</v>
      </c>
      <c r="I37" s="27">
        <f>G37*H37</f>
        <v/>
      </c>
      <c r="J37" s="39" t="n">
        <v>0.25</v>
      </c>
      <c r="K37" s="27">
        <f>I37*J37</f>
        <v/>
      </c>
    </row>
    <row r="38">
      <c r="A38" s="9" t="inlineStr">
        <is>
          <t>TRX-0038</t>
        </is>
      </c>
      <c r="B38" s="9" t="inlineStr">
        <is>
          <t>2025-01-05</t>
        </is>
      </c>
      <c r="C38" s="9" t="inlineStr">
        <is>
          <t>North</t>
        </is>
      </c>
      <c r="D38" s="11" t="inlineStr">
        <is>
          <t>Huck Finn</t>
        </is>
      </c>
      <c r="E38" s="11" t="inlineStr">
        <is>
          <t>Electronics</t>
        </is>
      </c>
      <c r="F38" s="11" t="inlineStr">
        <is>
          <t>Laptop</t>
        </is>
      </c>
      <c r="G38" s="37" t="n">
        <v>330.922222222222</v>
      </c>
      <c r="H38" s="24" t="n">
        <v>250</v>
      </c>
      <c r="I38" s="24">
        <f>G38*H38</f>
        <v/>
      </c>
      <c r="J38" s="38" t="n">
        <v>0.25</v>
      </c>
      <c r="K38" s="24">
        <f>I38*J38</f>
        <v/>
      </c>
    </row>
    <row r="39">
      <c r="A39" s="6" t="inlineStr">
        <is>
          <t>TRX-0039</t>
        </is>
      </c>
      <c r="B39" s="6" t="inlineStr">
        <is>
          <t>2025-01-09</t>
        </is>
      </c>
      <c r="C39" s="6" t="inlineStr">
        <is>
          <t>South</t>
        </is>
      </c>
      <c r="D39" s="8" t="inlineStr">
        <is>
          <t>Mary Jones</t>
        </is>
      </c>
      <c r="E39" s="8" t="inlineStr">
        <is>
          <t>Electronics</t>
        </is>
      </c>
      <c r="F39" s="8" t="inlineStr">
        <is>
          <t>Headphones</t>
        </is>
      </c>
      <c r="G39" s="36" t="n">
        <v>326.472222222222</v>
      </c>
      <c r="H39" s="27" t="n">
        <v>250</v>
      </c>
      <c r="I39" s="27">
        <f>G39*H39</f>
        <v/>
      </c>
      <c r="J39" s="39" t="n">
        <v>0.25</v>
      </c>
      <c r="K39" s="27">
        <f>I39*J39</f>
        <v/>
      </c>
    </row>
    <row r="40">
      <c r="A40" s="9" t="inlineStr">
        <is>
          <t>TRX-0040</t>
        </is>
      </c>
      <c r="B40" s="9" t="inlineStr">
        <is>
          <t>2025-01-09</t>
        </is>
      </c>
      <c r="C40" s="9" t="inlineStr">
        <is>
          <t>North</t>
        </is>
      </c>
      <c r="D40" s="11" t="inlineStr">
        <is>
          <t>James Hook</t>
        </is>
      </c>
      <c r="E40" s="11" t="inlineStr">
        <is>
          <t>Electronics</t>
        </is>
      </c>
      <c r="F40" s="11" t="inlineStr">
        <is>
          <t>Laptop</t>
        </is>
      </c>
      <c r="G40" s="37" t="n">
        <v>322.022222222222</v>
      </c>
      <c r="H40" s="24" t="n">
        <v>250</v>
      </c>
      <c r="I40" s="24">
        <f>G40*H40</f>
        <v/>
      </c>
      <c r="J40" s="38" t="n">
        <v>0.25</v>
      </c>
      <c r="K40" s="24">
        <f>I40*J40</f>
        <v/>
      </c>
    </row>
    <row r="41">
      <c r="A41" s="6" t="inlineStr">
        <is>
          <t>TRX-0041</t>
        </is>
      </c>
      <c r="B41" s="6" t="inlineStr">
        <is>
          <t>2025-01-08</t>
        </is>
      </c>
      <c r="C41" s="6" t="inlineStr">
        <is>
          <t>West</t>
        </is>
      </c>
      <c r="D41" s="8" t="inlineStr">
        <is>
          <t>Mary Jones</t>
        </is>
      </c>
      <c r="E41" s="8" t="inlineStr">
        <is>
          <t>Furniture</t>
        </is>
      </c>
      <c r="F41" s="8" t="inlineStr">
        <is>
          <t>Cabinet</t>
        </is>
      </c>
      <c r="G41" s="36" t="n">
        <v>317.572222222222</v>
      </c>
      <c r="H41" s="27" t="n">
        <v>250</v>
      </c>
      <c r="I41" s="27">
        <f>G41*H41</f>
        <v/>
      </c>
      <c r="J41" s="39" t="n">
        <v>0.25</v>
      </c>
      <c r="K41" s="27">
        <f>I41*J41</f>
        <v/>
      </c>
    </row>
    <row r="42">
      <c r="A42" s="9" t="inlineStr">
        <is>
          <t>TRX-0042</t>
        </is>
      </c>
      <c r="B42" s="9" t="inlineStr">
        <is>
          <t>2025-01-08</t>
        </is>
      </c>
      <c r="C42" s="9" t="inlineStr">
        <is>
          <t>East</t>
        </is>
      </c>
      <c r="D42" s="11" t="inlineStr">
        <is>
          <t>Huck Finn</t>
        </is>
      </c>
      <c r="E42" s="11" t="inlineStr">
        <is>
          <t>Supplies</t>
        </is>
      </c>
      <c r="F42" s="11" t="inlineStr">
        <is>
          <t>Pen</t>
        </is>
      </c>
      <c r="G42" s="37" t="n">
        <v>313.122222222222</v>
      </c>
      <c r="H42" s="24" t="n">
        <v>250</v>
      </c>
      <c r="I42" s="24">
        <f>G42*H42</f>
        <v/>
      </c>
      <c r="J42" s="38" t="n">
        <v>0.25</v>
      </c>
      <c r="K42" s="24">
        <f>I42*J42</f>
        <v/>
      </c>
    </row>
    <row r="43">
      <c r="A43" s="6" t="inlineStr">
        <is>
          <t>TRX-0043</t>
        </is>
      </c>
      <c r="B43" s="6" t="inlineStr">
        <is>
          <t>2025-01-07</t>
        </is>
      </c>
      <c r="C43" s="6" t="inlineStr">
        <is>
          <t>South</t>
        </is>
      </c>
      <c r="D43" s="8" t="inlineStr">
        <is>
          <t>John Smith</t>
        </is>
      </c>
      <c r="E43" s="8" t="inlineStr">
        <is>
          <t>Electronics</t>
        </is>
      </c>
      <c r="F43" s="8" t="inlineStr">
        <is>
          <t>Monitor</t>
        </is>
      </c>
      <c r="G43" s="36" t="n">
        <v>308.672222222222</v>
      </c>
      <c r="H43" s="27" t="n">
        <v>250</v>
      </c>
      <c r="I43" s="27">
        <f>G43*H43</f>
        <v/>
      </c>
      <c r="J43" s="39" t="n">
        <v>0.25</v>
      </c>
      <c r="K43" s="27">
        <f>I43*J43</f>
        <v/>
      </c>
    </row>
    <row r="44">
      <c r="A44" s="9" t="inlineStr">
        <is>
          <t>TRX-0044</t>
        </is>
      </c>
      <c r="B44" s="9" t="inlineStr">
        <is>
          <t>2025-01-07</t>
        </is>
      </c>
      <c r="C44" s="9" t="inlineStr">
        <is>
          <t>North</t>
        </is>
      </c>
      <c r="D44" s="11" t="inlineStr">
        <is>
          <t>Wendy Darling</t>
        </is>
      </c>
      <c r="E44" s="11" t="inlineStr">
        <is>
          <t>Furniture</t>
        </is>
      </c>
      <c r="F44" s="11" t="inlineStr">
        <is>
          <t>Chair</t>
        </is>
      </c>
      <c r="G44" s="37" t="n">
        <v>304.222222222222</v>
      </c>
      <c r="H44" s="24" t="n">
        <v>250</v>
      </c>
      <c r="I44" s="24">
        <f>G44*H44</f>
        <v/>
      </c>
      <c r="J44" s="38" t="n">
        <v>0.25</v>
      </c>
      <c r="K44" s="24">
        <f>I44*J44</f>
        <v/>
      </c>
    </row>
    <row r="45">
      <c r="A45" s="6" t="inlineStr">
        <is>
          <t>TRX-0045</t>
        </is>
      </c>
      <c r="B45" s="6" t="inlineStr">
        <is>
          <t>2025-01-06</t>
        </is>
      </c>
      <c r="C45" s="6" t="inlineStr">
        <is>
          <t>West</t>
        </is>
      </c>
      <c r="D45" s="8" t="inlineStr">
        <is>
          <t>Huck Finn</t>
        </is>
      </c>
      <c r="E45" s="8" t="inlineStr">
        <is>
          <t>Supplies</t>
        </is>
      </c>
      <c r="F45" s="8" t="inlineStr">
        <is>
          <t>Paper</t>
        </is>
      </c>
      <c r="G45" s="36" t="n">
        <v>299.772222222222</v>
      </c>
      <c r="H45" s="27" t="n">
        <v>250</v>
      </c>
      <c r="I45" s="27">
        <f>G45*H45</f>
        <v/>
      </c>
      <c r="J45" s="39" t="n">
        <v>0.25</v>
      </c>
      <c r="K45" s="27">
        <f>I45*J45</f>
        <v/>
      </c>
    </row>
    <row r="46">
      <c r="A46" s="9" t="inlineStr">
        <is>
          <t>TRX-0046</t>
        </is>
      </c>
      <c r="B46" s="9" t="inlineStr">
        <is>
          <t>2025-01-06</t>
        </is>
      </c>
      <c r="C46" s="9" t="inlineStr">
        <is>
          <t>East</t>
        </is>
      </c>
      <c r="D46" s="11" t="inlineStr">
        <is>
          <t>Tom Sawyer</t>
        </is>
      </c>
      <c r="E46" s="11" t="inlineStr">
        <is>
          <t>Electronics</t>
        </is>
      </c>
      <c r="F46" s="11" t="inlineStr">
        <is>
          <t>Mouse</t>
        </is>
      </c>
      <c r="G46" s="37" t="n">
        <v>295.322222222222</v>
      </c>
      <c r="H46" s="24" t="n">
        <v>250</v>
      </c>
      <c r="I46" s="24">
        <f>G46*H46</f>
        <v/>
      </c>
      <c r="J46" s="38" t="n">
        <v>0.25</v>
      </c>
      <c r="K46" s="24">
        <f>I46*J46</f>
        <v/>
      </c>
    </row>
    <row r="47">
      <c r="A47" s="6" t="inlineStr">
        <is>
          <t>TRX-0047</t>
        </is>
      </c>
      <c r="B47" s="6" t="inlineStr">
        <is>
          <t>2025-01-05</t>
        </is>
      </c>
      <c r="C47" s="6" t="inlineStr">
        <is>
          <t>South</t>
        </is>
      </c>
      <c r="D47" s="8" t="inlineStr">
        <is>
          <t>Lisa Frank</t>
        </is>
      </c>
      <c r="E47" s="8" t="inlineStr">
        <is>
          <t>Furniture</t>
        </is>
      </c>
      <c r="F47" s="8" t="inlineStr">
        <is>
          <t>Desk</t>
        </is>
      </c>
      <c r="G47" s="36" t="n">
        <v>290.872222222222</v>
      </c>
      <c r="H47" s="27" t="n">
        <v>250</v>
      </c>
      <c r="I47" s="27">
        <f>G47*H47</f>
        <v/>
      </c>
      <c r="J47" s="39" t="n">
        <v>0.25</v>
      </c>
      <c r="K47" s="27">
        <f>I47*J47</f>
        <v/>
      </c>
    </row>
    <row r="48">
      <c r="A48" s="9" t="inlineStr">
        <is>
          <t>TRX-0048</t>
        </is>
      </c>
      <c r="B48" s="9" t="inlineStr">
        <is>
          <t>2025-01-05</t>
        </is>
      </c>
      <c r="C48" s="9" t="inlineStr">
        <is>
          <t>North</t>
        </is>
      </c>
      <c r="D48" s="11" t="inlineStr">
        <is>
          <t>Tom Sawyer</t>
        </is>
      </c>
      <c r="E48" s="11" t="inlineStr">
        <is>
          <t>Electronics</t>
        </is>
      </c>
      <c r="F48" s="11" t="inlineStr">
        <is>
          <t>Laptop</t>
        </is>
      </c>
      <c r="G48" s="37" t="n">
        <v>286.422222222222</v>
      </c>
      <c r="H48" s="24" t="n">
        <v>250</v>
      </c>
      <c r="I48" s="24">
        <f>G48*H48</f>
        <v/>
      </c>
      <c r="J48" s="38" t="n">
        <v>0.25</v>
      </c>
      <c r="K48" s="24">
        <f>I48*J48</f>
        <v/>
      </c>
    </row>
    <row r="49">
      <c r="A49" s="6" t="inlineStr">
        <is>
          <t>TRX-0049</t>
        </is>
      </c>
      <c r="B49" s="6" t="inlineStr">
        <is>
          <t>2025-01-09</t>
        </is>
      </c>
      <c r="C49" s="6" t="inlineStr">
        <is>
          <t>South</t>
        </is>
      </c>
      <c r="D49" s="8" t="inlineStr">
        <is>
          <t>John Smith</t>
        </is>
      </c>
      <c r="E49" s="8" t="inlineStr">
        <is>
          <t>Electronics</t>
        </is>
      </c>
      <c r="F49" s="8" t="inlineStr">
        <is>
          <t>Headphones</t>
        </is>
      </c>
      <c r="G49" s="36" t="n">
        <v>281.972222222222</v>
      </c>
      <c r="H49" s="27" t="n">
        <v>250</v>
      </c>
      <c r="I49" s="27">
        <f>G49*H49</f>
        <v/>
      </c>
      <c r="J49" s="39" t="n">
        <v>0.25</v>
      </c>
      <c r="K49" s="27">
        <f>I49*J49</f>
        <v/>
      </c>
    </row>
    <row r="50">
      <c r="A50" s="9" t="inlineStr">
        <is>
          <t>TRX-0050</t>
        </is>
      </c>
      <c r="B50" s="9" t="inlineStr">
        <is>
          <t>2025-01-09</t>
        </is>
      </c>
      <c r="C50" s="9" t="inlineStr">
        <is>
          <t>North</t>
        </is>
      </c>
      <c r="D50" s="11" t="inlineStr">
        <is>
          <t>James Hook</t>
        </is>
      </c>
      <c r="E50" s="11" t="inlineStr">
        <is>
          <t>Electronics</t>
        </is>
      </c>
      <c r="F50" s="11" t="inlineStr">
        <is>
          <t>Laptop</t>
        </is>
      </c>
      <c r="G50" s="37" t="n">
        <v>277.522222222222</v>
      </c>
      <c r="H50" s="24" t="n">
        <v>250</v>
      </c>
      <c r="I50" s="24">
        <f>G50*H50</f>
        <v/>
      </c>
      <c r="J50" s="38" t="n">
        <v>0.25</v>
      </c>
      <c r="K50" s="24">
        <f>I50*J50</f>
        <v/>
      </c>
    </row>
    <row r="51">
      <c r="A51" s="6" t="inlineStr">
        <is>
          <t>TRX-0051</t>
        </is>
      </c>
      <c r="B51" s="6" t="inlineStr">
        <is>
          <t>2025-01-08</t>
        </is>
      </c>
      <c r="C51" s="6" t="inlineStr">
        <is>
          <t>West</t>
        </is>
      </c>
      <c r="D51" s="8" t="inlineStr">
        <is>
          <t>Becky Thatcher</t>
        </is>
      </c>
      <c r="E51" s="8" t="inlineStr">
        <is>
          <t>Furniture</t>
        </is>
      </c>
      <c r="F51" s="8" t="inlineStr">
        <is>
          <t>Cabinet</t>
        </is>
      </c>
      <c r="G51" s="36" t="n">
        <v>273.072222222222</v>
      </c>
      <c r="H51" s="27" t="n">
        <v>250</v>
      </c>
      <c r="I51" s="27">
        <f>G51*H51</f>
        <v/>
      </c>
      <c r="J51" s="39" t="n">
        <v>0.25</v>
      </c>
      <c r="K51" s="27">
        <f>I51*J51</f>
        <v/>
      </c>
    </row>
    <row r="52">
      <c r="A52" s="9" t="inlineStr">
        <is>
          <t>TRX-0052</t>
        </is>
      </c>
      <c r="B52" s="9" t="inlineStr">
        <is>
          <t>2025-01-08</t>
        </is>
      </c>
      <c r="C52" s="9" t="inlineStr">
        <is>
          <t>East</t>
        </is>
      </c>
      <c r="D52" s="11" t="inlineStr">
        <is>
          <t>Lisa Frank</t>
        </is>
      </c>
      <c r="E52" s="11" t="inlineStr">
        <is>
          <t>Supplies</t>
        </is>
      </c>
      <c r="F52" s="11" t="inlineStr">
        <is>
          <t>Pen</t>
        </is>
      </c>
      <c r="G52" s="37" t="n">
        <v>268.622222222222</v>
      </c>
      <c r="H52" s="24" t="n">
        <v>250</v>
      </c>
      <c r="I52" s="24">
        <f>G52*H52</f>
        <v/>
      </c>
      <c r="J52" s="38" t="n">
        <v>0.25</v>
      </c>
      <c r="K52" s="24">
        <f>I52*J52</f>
        <v/>
      </c>
    </row>
    <row r="53">
      <c r="A53" s="6" t="inlineStr">
        <is>
          <t>TRX-0053</t>
        </is>
      </c>
      <c r="B53" s="6" t="inlineStr">
        <is>
          <t>2025-01-07</t>
        </is>
      </c>
      <c r="C53" s="6" t="inlineStr">
        <is>
          <t>South</t>
        </is>
      </c>
      <c r="D53" s="8" t="inlineStr">
        <is>
          <t>Peter Pan</t>
        </is>
      </c>
      <c r="E53" s="8" t="inlineStr">
        <is>
          <t>Electronics</t>
        </is>
      </c>
      <c r="F53" s="8" t="inlineStr">
        <is>
          <t>Monitor</t>
        </is>
      </c>
      <c r="G53" s="36" t="n">
        <v>264.172222222222</v>
      </c>
      <c r="H53" s="27" t="n">
        <v>250</v>
      </c>
      <c r="I53" s="27">
        <f>G53*H53</f>
        <v/>
      </c>
      <c r="J53" s="39" t="n">
        <v>0.25</v>
      </c>
      <c r="K53" s="27">
        <f>I53*J53</f>
        <v/>
      </c>
    </row>
    <row r="54">
      <c r="A54" s="9" t="inlineStr">
        <is>
          <t>TRX-0054</t>
        </is>
      </c>
      <c r="B54" s="9" t="inlineStr">
        <is>
          <t>2025-01-07</t>
        </is>
      </c>
      <c r="C54" s="9" t="inlineStr">
        <is>
          <t>North</t>
        </is>
      </c>
      <c r="D54" s="11" t="inlineStr">
        <is>
          <t>Lisa Frank</t>
        </is>
      </c>
      <c r="E54" s="11" t="inlineStr">
        <is>
          <t>Furniture</t>
        </is>
      </c>
      <c r="F54" s="11" t="inlineStr">
        <is>
          <t>Chair</t>
        </is>
      </c>
      <c r="G54" s="37" t="n">
        <v>259.722222222222</v>
      </c>
      <c r="H54" s="24" t="n">
        <v>250</v>
      </c>
      <c r="I54" s="24">
        <f>G54*H54</f>
        <v/>
      </c>
      <c r="J54" s="38" t="n">
        <v>0.25</v>
      </c>
      <c r="K54" s="24">
        <f>I54*J54</f>
        <v/>
      </c>
    </row>
    <row r="55">
      <c r="A55" s="6" t="inlineStr">
        <is>
          <t>TRX-0055</t>
        </is>
      </c>
      <c r="B55" s="6" t="inlineStr">
        <is>
          <t>2025-01-06</t>
        </is>
      </c>
      <c r="C55" s="6" t="inlineStr">
        <is>
          <t>West</t>
        </is>
      </c>
      <c r="D55" s="8" t="inlineStr">
        <is>
          <t>Lisa Frank</t>
        </is>
      </c>
      <c r="E55" s="8" t="inlineStr">
        <is>
          <t>Supplies</t>
        </is>
      </c>
      <c r="F55" s="8" t="inlineStr">
        <is>
          <t>Paper</t>
        </is>
      </c>
      <c r="G55" s="36" t="n">
        <v>255.272222222222</v>
      </c>
      <c r="H55" s="27" t="n">
        <v>250</v>
      </c>
      <c r="I55" s="27">
        <f>G55*H55</f>
        <v/>
      </c>
      <c r="J55" s="39" t="n">
        <v>0.25</v>
      </c>
      <c r="K55" s="27">
        <f>I55*J55</f>
        <v/>
      </c>
    </row>
    <row r="56">
      <c r="A56" s="9" t="inlineStr">
        <is>
          <t>TRX-0056</t>
        </is>
      </c>
      <c r="B56" s="9" t="inlineStr">
        <is>
          <t>2025-01-06</t>
        </is>
      </c>
      <c r="C56" s="9" t="inlineStr">
        <is>
          <t>East</t>
        </is>
      </c>
      <c r="D56" s="11" t="inlineStr">
        <is>
          <t>Huck Finn</t>
        </is>
      </c>
      <c r="E56" s="11" t="inlineStr">
        <is>
          <t>Electronics</t>
        </is>
      </c>
      <c r="F56" s="11" t="inlineStr">
        <is>
          <t>Mouse</t>
        </is>
      </c>
      <c r="G56" s="37" t="n">
        <v>250.822222222222</v>
      </c>
      <c r="H56" s="24" t="n">
        <v>250</v>
      </c>
      <c r="I56" s="24">
        <f>G56*H56</f>
        <v/>
      </c>
      <c r="J56" s="38" t="n">
        <v>0.25</v>
      </c>
      <c r="K56" s="24">
        <f>I56*J56</f>
        <v/>
      </c>
    </row>
    <row r="57">
      <c r="A57" s="6" t="inlineStr">
        <is>
          <t>TRX-0057</t>
        </is>
      </c>
      <c r="B57" s="6" t="inlineStr">
        <is>
          <t>2025-01-05</t>
        </is>
      </c>
      <c r="C57" s="6" t="inlineStr">
        <is>
          <t>South</t>
        </is>
      </c>
      <c r="D57" s="8" t="inlineStr">
        <is>
          <t>Wendy Darling</t>
        </is>
      </c>
      <c r="E57" s="8" t="inlineStr">
        <is>
          <t>Furniture</t>
        </is>
      </c>
      <c r="F57" s="8" t="inlineStr">
        <is>
          <t>Desk</t>
        </is>
      </c>
      <c r="G57" s="36" t="n">
        <v>246.372222222222</v>
      </c>
      <c r="H57" s="27" t="n">
        <v>250</v>
      </c>
      <c r="I57" s="27">
        <f>G57*H57</f>
        <v/>
      </c>
      <c r="J57" s="39" t="n">
        <v>0.25</v>
      </c>
      <c r="K57" s="27">
        <f>I57*J57</f>
        <v/>
      </c>
    </row>
    <row r="58">
      <c r="A58" s="9" t="inlineStr">
        <is>
          <t>TRX-0058</t>
        </is>
      </c>
      <c r="B58" s="9" t="inlineStr">
        <is>
          <t>2025-01-05</t>
        </is>
      </c>
      <c r="C58" s="9" t="inlineStr">
        <is>
          <t>North</t>
        </is>
      </c>
      <c r="D58" s="11" t="inlineStr">
        <is>
          <t>Huck Finn</t>
        </is>
      </c>
      <c r="E58" s="11" t="inlineStr">
        <is>
          <t>Electronics</t>
        </is>
      </c>
      <c r="F58" s="11" t="inlineStr">
        <is>
          <t>Laptop</t>
        </is>
      </c>
      <c r="G58" s="37" t="n">
        <v>241.922222222222</v>
      </c>
      <c r="H58" s="24" t="n">
        <v>250</v>
      </c>
      <c r="I58" s="24">
        <f>G58*H58</f>
        <v/>
      </c>
      <c r="J58" s="38" t="n">
        <v>0.25</v>
      </c>
      <c r="K58" s="24">
        <f>I58*J58</f>
        <v/>
      </c>
    </row>
    <row r="59">
      <c r="A59" s="6" t="inlineStr">
        <is>
          <t>TRX-0059</t>
        </is>
      </c>
      <c r="B59" s="6" t="inlineStr">
        <is>
          <t>2025-01-09</t>
        </is>
      </c>
      <c r="C59" s="6" t="inlineStr">
        <is>
          <t>South</t>
        </is>
      </c>
      <c r="D59" s="8" t="inlineStr">
        <is>
          <t>James Hook</t>
        </is>
      </c>
      <c r="E59" s="8" t="inlineStr">
        <is>
          <t>Electronics</t>
        </is>
      </c>
      <c r="F59" s="8" t="inlineStr">
        <is>
          <t>Headphones</t>
        </is>
      </c>
      <c r="G59" s="36" t="n">
        <v>237.472222222222</v>
      </c>
      <c r="H59" s="27" t="n">
        <v>250</v>
      </c>
      <c r="I59" s="27">
        <f>G59*H59</f>
        <v/>
      </c>
      <c r="J59" s="39" t="n">
        <v>0.25</v>
      </c>
      <c r="K59" s="27">
        <f>I59*J59</f>
        <v/>
      </c>
    </row>
    <row r="60">
      <c r="A60" s="9" t="inlineStr">
        <is>
          <t>TRX-0060</t>
        </is>
      </c>
      <c r="B60" s="9" t="inlineStr">
        <is>
          <t>2025-01-09</t>
        </is>
      </c>
      <c r="C60" s="9" t="inlineStr">
        <is>
          <t>North</t>
        </is>
      </c>
      <c r="D60" s="11" t="inlineStr">
        <is>
          <t>John Smith</t>
        </is>
      </c>
      <c r="E60" s="11" t="inlineStr">
        <is>
          <t>Electronics</t>
        </is>
      </c>
      <c r="F60" s="11" t="inlineStr">
        <is>
          <t>Laptop</t>
        </is>
      </c>
      <c r="G60" s="37" t="n">
        <v>233.022222222222</v>
      </c>
      <c r="H60" s="24" t="n">
        <v>250</v>
      </c>
      <c r="I60" s="24">
        <f>G60*H60</f>
        <v/>
      </c>
      <c r="J60" s="38" t="n">
        <v>0.25</v>
      </c>
      <c r="K60" s="24">
        <f>I60*J60</f>
        <v/>
      </c>
    </row>
    <row r="61">
      <c r="A61" s="6" t="inlineStr">
        <is>
          <t>TRX-0061</t>
        </is>
      </c>
      <c r="B61" s="6" t="inlineStr">
        <is>
          <t>2025-01-08</t>
        </is>
      </c>
      <c r="C61" s="6" t="inlineStr">
        <is>
          <t>West</t>
        </is>
      </c>
      <c r="D61" s="8" t="inlineStr">
        <is>
          <t>Becky Thatcher</t>
        </is>
      </c>
      <c r="E61" s="8" t="inlineStr">
        <is>
          <t>Furniture</t>
        </is>
      </c>
      <c r="F61" s="8" t="inlineStr">
        <is>
          <t>Cabinet</t>
        </is>
      </c>
      <c r="G61" s="36" t="n">
        <v>228.572222222222</v>
      </c>
      <c r="H61" s="27" t="n">
        <v>250</v>
      </c>
      <c r="I61" s="27">
        <f>G61*H61</f>
        <v/>
      </c>
      <c r="J61" s="39" t="n">
        <v>0.25</v>
      </c>
      <c r="K61" s="27">
        <f>I61*J61</f>
        <v/>
      </c>
    </row>
    <row r="62">
      <c r="A62" s="9" t="inlineStr">
        <is>
          <t>TRX-0062</t>
        </is>
      </c>
      <c r="B62" s="9" t="inlineStr">
        <is>
          <t>2025-01-08</t>
        </is>
      </c>
      <c r="C62" s="9" t="inlineStr">
        <is>
          <t>East</t>
        </is>
      </c>
      <c r="D62" s="11" t="inlineStr">
        <is>
          <t>Tom Sawyer</t>
        </is>
      </c>
      <c r="E62" s="11" t="inlineStr">
        <is>
          <t>Supplies</t>
        </is>
      </c>
      <c r="F62" s="11" t="inlineStr">
        <is>
          <t>Pen</t>
        </is>
      </c>
      <c r="G62" s="37" t="n">
        <v>224.122222222222</v>
      </c>
      <c r="H62" s="24" t="n">
        <v>250</v>
      </c>
      <c r="I62" s="24">
        <f>G62*H62</f>
        <v/>
      </c>
      <c r="J62" s="38" t="n">
        <v>0.25</v>
      </c>
      <c r="K62" s="24">
        <f>I62*J62</f>
        <v/>
      </c>
    </row>
    <row r="63">
      <c r="A63" s="6" t="inlineStr">
        <is>
          <t>TRX-0063</t>
        </is>
      </c>
      <c r="B63" s="6" t="inlineStr">
        <is>
          <t>2025-01-07</t>
        </is>
      </c>
      <c r="C63" s="6" t="inlineStr">
        <is>
          <t>South</t>
        </is>
      </c>
      <c r="D63" s="8" t="inlineStr">
        <is>
          <t>Mary Jones</t>
        </is>
      </c>
      <c r="E63" s="8" t="inlineStr">
        <is>
          <t>Electronics</t>
        </is>
      </c>
      <c r="F63" s="8" t="inlineStr">
        <is>
          <t>Monitor</t>
        </is>
      </c>
      <c r="G63" s="36" t="n">
        <v>219.672222222222</v>
      </c>
      <c r="H63" s="27" t="n">
        <v>250</v>
      </c>
      <c r="I63" s="27">
        <f>G63*H63</f>
        <v/>
      </c>
      <c r="J63" s="39" t="n">
        <v>0.25</v>
      </c>
      <c r="K63" s="27">
        <f>I63*J63</f>
        <v/>
      </c>
    </row>
    <row r="64">
      <c r="A64" s="9" t="inlineStr">
        <is>
          <t>TRX-0064</t>
        </is>
      </c>
      <c r="B64" s="9" t="inlineStr">
        <is>
          <t>2025-01-07</t>
        </is>
      </c>
      <c r="C64" s="9" t="inlineStr">
        <is>
          <t>North</t>
        </is>
      </c>
      <c r="D64" s="11" t="inlineStr">
        <is>
          <t>Becky Thatcher</t>
        </is>
      </c>
      <c r="E64" s="11" t="inlineStr">
        <is>
          <t>Furniture</t>
        </is>
      </c>
      <c r="F64" s="11" t="inlineStr">
        <is>
          <t>Chair</t>
        </is>
      </c>
      <c r="G64" s="37" t="n">
        <v>215.222222222222</v>
      </c>
      <c r="H64" s="24" t="n">
        <v>250</v>
      </c>
      <c r="I64" s="24">
        <f>G64*H64</f>
        <v/>
      </c>
      <c r="J64" s="38" t="n">
        <v>0.25</v>
      </c>
      <c r="K64" s="24">
        <f>I64*J64</f>
        <v/>
      </c>
    </row>
    <row r="65">
      <c r="A65" s="6" t="inlineStr">
        <is>
          <t>TRX-0065</t>
        </is>
      </c>
      <c r="B65" s="6" t="inlineStr">
        <is>
          <t>2025-01-06</t>
        </is>
      </c>
      <c r="C65" s="6" t="inlineStr">
        <is>
          <t>West</t>
        </is>
      </c>
      <c r="D65" s="8" t="inlineStr">
        <is>
          <t>James Hook</t>
        </is>
      </c>
      <c r="E65" s="8" t="inlineStr">
        <is>
          <t>Supplies</t>
        </is>
      </c>
      <c r="F65" s="8" t="inlineStr">
        <is>
          <t>Paper</t>
        </is>
      </c>
      <c r="G65" s="36" t="n">
        <v>210.772222222222</v>
      </c>
      <c r="H65" s="27" t="n">
        <v>250</v>
      </c>
      <c r="I65" s="27">
        <f>G65*H65</f>
        <v/>
      </c>
      <c r="J65" s="39" t="n">
        <v>0.25</v>
      </c>
      <c r="K65" s="27">
        <f>I65*J65</f>
        <v/>
      </c>
    </row>
    <row r="66">
      <c r="A66" s="9" t="inlineStr">
        <is>
          <t>TRX-0066</t>
        </is>
      </c>
      <c r="B66" s="9" t="inlineStr">
        <is>
          <t>2025-01-06</t>
        </is>
      </c>
      <c r="C66" s="9" t="inlineStr">
        <is>
          <t>East</t>
        </is>
      </c>
      <c r="D66" s="11" t="inlineStr">
        <is>
          <t>James Hook</t>
        </is>
      </c>
      <c r="E66" s="11" t="inlineStr">
        <is>
          <t>Electronics</t>
        </is>
      </c>
      <c r="F66" s="11" t="inlineStr">
        <is>
          <t>Mouse</t>
        </is>
      </c>
      <c r="G66" s="37" t="n">
        <v>206.322222222222</v>
      </c>
      <c r="H66" s="24" t="n">
        <v>250</v>
      </c>
      <c r="I66" s="24">
        <f>G66*H66</f>
        <v/>
      </c>
      <c r="J66" s="38" t="n">
        <v>0.25</v>
      </c>
      <c r="K66" s="24">
        <f>I66*J66</f>
        <v/>
      </c>
    </row>
    <row r="67">
      <c r="A67" s="6" t="inlineStr">
        <is>
          <t>TRX-0067</t>
        </is>
      </c>
      <c r="B67" s="6" t="inlineStr">
        <is>
          <t>2025-01-05</t>
        </is>
      </c>
      <c r="C67" s="6" t="inlineStr">
        <is>
          <t>South</t>
        </is>
      </c>
      <c r="D67" s="8" t="inlineStr">
        <is>
          <t>Lisa Frank</t>
        </is>
      </c>
      <c r="E67" s="8" t="inlineStr">
        <is>
          <t>Furniture</t>
        </is>
      </c>
      <c r="F67" s="8" t="inlineStr">
        <is>
          <t>Desk</t>
        </is>
      </c>
      <c r="G67" s="36" t="n">
        <v>201.872222222222</v>
      </c>
      <c r="H67" s="27" t="n">
        <v>250</v>
      </c>
      <c r="I67" s="27">
        <f>G67*H67</f>
        <v/>
      </c>
      <c r="J67" s="39" t="n">
        <v>0.25</v>
      </c>
      <c r="K67" s="27">
        <f>I67*J67</f>
        <v/>
      </c>
    </row>
    <row r="68">
      <c r="A68" s="9" t="inlineStr">
        <is>
          <t>TRX-0068</t>
        </is>
      </c>
      <c r="B68" s="9" t="inlineStr">
        <is>
          <t>2025-01-05</t>
        </is>
      </c>
      <c r="C68" s="9" t="inlineStr">
        <is>
          <t>North</t>
        </is>
      </c>
      <c r="D68" s="11" t="inlineStr">
        <is>
          <t>Becky Thatcher</t>
        </is>
      </c>
      <c r="E68" s="11" t="inlineStr">
        <is>
          <t>Electronics</t>
        </is>
      </c>
      <c r="F68" s="11" t="inlineStr">
        <is>
          <t>Laptop</t>
        </is>
      </c>
      <c r="G68" s="37" t="n">
        <v>197.422222222222</v>
      </c>
      <c r="H68" s="24" t="n">
        <v>250</v>
      </c>
      <c r="I68" s="24">
        <f>G68*H68</f>
        <v/>
      </c>
      <c r="J68" s="38" t="n">
        <v>0.25</v>
      </c>
      <c r="K68" s="24">
        <f>I68*J68</f>
        <v/>
      </c>
    </row>
    <row r="69">
      <c r="A69" s="6" t="inlineStr">
        <is>
          <t>TRX-0069</t>
        </is>
      </c>
      <c r="B69" s="6" t="inlineStr">
        <is>
          <t>2025-01-09</t>
        </is>
      </c>
      <c r="C69" s="6" t="inlineStr">
        <is>
          <t>South</t>
        </is>
      </c>
      <c r="D69" s="8" t="inlineStr">
        <is>
          <t>Becky Thatcher</t>
        </is>
      </c>
      <c r="E69" s="8" t="inlineStr">
        <is>
          <t>Electronics</t>
        </is>
      </c>
      <c r="F69" s="8" t="inlineStr">
        <is>
          <t>Headphones</t>
        </is>
      </c>
      <c r="G69" s="36" t="n">
        <v>192.972222222222</v>
      </c>
      <c r="H69" s="27" t="n">
        <v>250</v>
      </c>
      <c r="I69" s="27">
        <f>G69*H69</f>
        <v/>
      </c>
      <c r="J69" s="39" t="n">
        <v>0.25</v>
      </c>
      <c r="K69" s="27">
        <f>I69*J69</f>
        <v/>
      </c>
    </row>
    <row r="70">
      <c r="A70" s="9" t="inlineStr">
        <is>
          <t>TRX-0070</t>
        </is>
      </c>
      <c r="B70" s="9" t="inlineStr">
        <is>
          <t>2025-01-09</t>
        </is>
      </c>
      <c r="C70" s="9" t="inlineStr">
        <is>
          <t>North</t>
        </is>
      </c>
      <c r="D70" s="11" t="inlineStr">
        <is>
          <t>Sarah Connor</t>
        </is>
      </c>
      <c r="E70" s="11" t="inlineStr">
        <is>
          <t>Electronics</t>
        </is>
      </c>
      <c r="F70" s="11" t="inlineStr">
        <is>
          <t>Laptop</t>
        </is>
      </c>
      <c r="G70" s="37" t="n">
        <v>188.522222222222</v>
      </c>
      <c r="H70" s="24" t="n">
        <v>250</v>
      </c>
      <c r="I70" s="24">
        <f>G70*H70</f>
        <v/>
      </c>
      <c r="J70" s="38" t="n">
        <v>0.25</v>
      </c>
      <c r="K70" s="24">
        <f>I70*J70</f>
        <v/>
      </c>
    </row>
    <row r="71">
      <c r="A71" s="6" t="inlineStr">
        <is>
          <t>TRX-0071</t>
        </is>
      </c>
      <c r="B71" s="6" t="inlineStr">
        <is>
          <t>2025-01-08</t>
        </is>
      </c>
      <c r="C71" s="6" t="inlineStr">
        <is>
          <t>West</t>
        </is>
      </c>
      <c r="D71" s="8" t="inlineStr">
        <is>
          <t>John Smith</t>
        </is>
      </c>
      <c r="E71" s="8" t="inlineStr">
        <is>
          <t>Furniture</t>
        </is>
      </c>
      <c r="F71" s="8" t="inlineStr">
        <is>
          <t>Cabinet</t>
        </is>
      </c>
      <c r="G71" s="36" t="n">
        <v>184.072222222222</v>
      </c>
      <c r="H71" s="27" t="n">
        <v>250</v>
      </c>
      <c r="I71" s="27">
        <f>G71*H71</f>
        <v/>
      </c>
      <c r="J71" s="39" t="n">
        <v>0.25</v>
      </c>
      <c r="K71" s="27">
        <f>I71*J71</f>
        <v/>
      </c>
    </row>
    <row r="72">
      <c r="A72" s="9" t="inlineStr">
        <is>
          <t>TRX-0072</t>
        </is>
      </c>
      <c r="B72" s="9" t="inlineStr">
        <is>
          <t>2025-01-08</t>
        </is>
      </c>
      <c r="C72" s="9" t="inlineStr">
        <is>
          <t>East</t>
        </is>
      </c>
      <c r="D72" s="11" t="inlineStr">
        <is>
          <t>Huck Finn</t>
        </is>
      </c>
      <c r="E72" s="11" t="inlineStr">
        <is>
          <t>Supplies</t>
        </is>
      </c>
      <c r="F72" s="11" t="inlineStr">
        <is>
          <t>Pen</t>
        </is>
      </c>
      <c r="G72" s="37" t="n">
        <v>179.622222222222</v>
      </c>
      <c r="H72" s="24" t="n">
        <v>250</v>
      </c>
      <c r="I72" s="24">
        <f>G72*H72</f>
        <v/>
      </c>
      <c r="J72" s="38" t="n">
        <v>0.25</v>
      </c>
      <c r="K72" s="24">
        <f>I72*J72</f>
        <v/>
      </c>
    </row>
    <row r="73">
      <c r="A73" s="6" t="inlineStr">
        <is>
          <t>TRX-0073</t>
        </is>
      </c>
      <c r="B73" s="6" t="inlineStr">
        <is>
          <t>2025-01-07</t>
        </is>
      </c>
      <c r="C73" s="6" t="inlineStr">
        <is>
          <t>South</t>
        </is>
      </c>
      <c r="D73" s="8" t="inlineStr">
        <is>
          <t>Peter Pan</t>
        </is>
      </c>
      <c r="E73" s="8" t="inlineStr">
        <is>
          <t>Electronics</t>
        </is>
      </c>
      <c r="F73" s="8" t="inlineStr">
        <is>
          <t>Monitor</t>
        </is>
      </c>
      <c r="G73" s="36" t="n">
        <v>175.172222222222</v>
      </c>
      <c r="H73" s="27" t="n">
        <v>250</v>
      </c>
      <c r="I73" s="27">
        <f>G73*H73</f>
        <v/>
      </c>
      <c r="J73" s="39" t="n">
        <v>0.25</v>
      </c>
      <c r="K73" s="27">
        <f>I73*J73</f>
        <v/>
      </c>
    </row>
    <row r="74">
      <c r="A74" s="9" t="inlineStr">
        <is>
          <t>TRX-0074</t>
        </is>
      </c>
      <c r="B74" s="9" t="inlineStr">
        <is>
          <t>2025-01-07</t>
        </is>
      </c>
      <c r="C74" s="9" t="inlineStr">
        <is>
          <t>North</t>
        </is>
      </c>
      <c r="D74" s="11" t="inlineStr">
        <is>
          <t>Peter Pan</t>
        </is>
      </c>
      <c r="E74" s="11" t="inlineStr">
        <is>
          <t>Furniture</t>
        </is>
      </c>
      <c r="F74" s="11" t="inlineStr">
        <is>
          <t>Chair</t>
        </is>
      </c>
      <c r="G74" s="37" t="n">
        <v>170.722222222222</v>
      </c>
      <c r="H74" s="24" t="n">
        <v>250</v>
      </c>
      <c r="I74" s="24">
        <f>G74*H74</f>
        <v/>
      </c>
      <c r="J74" s="38" t="n">
        <v>0.25</v>
      </c>
      <c r="K74" s="24">
        <f>I74*J74</f>
        <v/>
      </c>
    </row>
    <row r="75">
      <c r="A75" s="6" t="inlineStr">
        <is>
          <t>TRX-0075</t>
        </is>
      </c>
      <c r="B75" s="6" t="inlineStr">
        <is>
          <t>2025-01-06</t>
        </is>
      </c>
      <c r="C75" s="6" t="inlineStr">
        <is>
          <t>West</t>
        </is>
      </c>
      <c r="D75" s="8" t="inlineStr">
        <is>
          <t>John Smith</t>
        </is>
      </c>
      <c r="E75" s="8" t="inlineStr">
        <is>
          <t>Supplies</t>
        </is>
      </c>
      <c r="F75" s="8" t="inlineStr">
        <is>
          <t>Paper</t>
        </is>
      </c>
      <c r="G75" s="36" t="n">
        <v>166.272222222222</v>
      </c>
      <c r="H75" s="27" t="n">
        <v>250</v>
      </c>
      <c r="I75" s="27">
        <f>G75*H75</f>
        <v/>
      </c>
      <c r="J75" s="39" t="n">
        <v>0.25</v>
      </c>
      <c r="K75" s="27">
        <f>I75*J75</f>
        <v/>
      </c>
    </row>
    <row r="76">
      <c r="A76" s="9" t="inlineStr">
        <is>
          <t>TRX-0076</t>
        </is>
      </c>
      <c r="B76" s="9" t="inlineStr">
        <is>
          <t>2025-01-06</t>
        </is>
      </c>
      <c r="C76" s="9" t="inlineStr">
        <is>
          <t>East</t>
        </is>
      </c>
      <c r="D76" s="11" t="inlineStr">
        <is>
          <t>Mary Jones</t>
        </is>
      </c>
      <c r="E76" s="11" t="inlineStr">
        <is>
          <t>Electronics</t>
        </is>
      </c>
      <c r="F76" s="11" t="inlineStr">
        <is>
          <t>Mouse</t>
        </is>
      </c>
      <c r="G76" s="37" t="n">
        <v>161.822222222222</v>
      </c>
      <c r="H76" s="24" t="n">
        <v>250</v>
      </c>
      <c r="I76" s="24">
        <f>G76*H76</f>
        <v/>
      </c>
      <c r="J76" s="38" t="n">
        <v>0.25</v>
      </c>
      <c r="K76" s="24">
        <f>I76*J76</f>
        <v/>
      </c>
    </row>
    <row r="77">
      <c r="A77" s="6" t="inlineStr">
        <is>
          <t>TRX-0077</t>
        </is>
      </c>
      <c r="B77" s="6" t="inlineStr">
        <is>
          <t>2025-01-05</t>
        </is>
      </c>
      <c r="C77" s="6" t="inlineStr">
        <is>
          <t>South</t>
        </is>
      </c>
      <c r="D77" s="8" t="inlineStr">
        <is>
          <t>John Smith</t>
        </is>
      </c>
      <c r="E77" s="8" t="inlineStr">
        <is>
          <t>Furniture</t>
        </is>
      </c>
      <c r="F77" s="8" t="inlineStr">
        <is>
          <t>Desk</t>
        </is>
      </c>
      <c r="G77" s="36" t="n">
        <v>157.372222222222</v>
      </c>
      <c r="H77" s="27" t="n">
        <v>250</v>
      </c>
      <c r="I77" s="27">
        <f>G77*H77</f>
        <v/>
      </c>
      <c r="J77" s="39" t="n">
        <v>0.25</v>
      </c>
      <c r="K77" s="27">
        <f>I77*J77</f>
        <v/>
      </c>
    </row>
    <row r="78">
      <c r="A78" s="9" t="inlineStr">
        <is>
          <t>TRX-0078</t>
        </is>
      </c>
      <c r="B78" s="9" t="inlineStr">
        <is>
          <t>2025-01-05</t>
        </is>
      </c>
      <c r="C78" s="9" t="inlineStr">
        <is>
          <t>North</t>
        </is>
      </c>
      <c r="D78" s="11" t="inlineStr">
        <is>
          <t>Becky Thatcher</t>
        </is>
      </c>
      <c r="E78" s="11" t="inlineStr">
        <is>
          <t>Electronics</t>
        </is>
      </c>
      <c r="F78" s="11" t="inlineStr">
        <is>
          <t>Laptop</t>
        </is>
      </c>
      <c r="G78" s="37" t="n">
        <v>152.922222222222</v>
      </c>
      <c r="H78" s="24" t="n">
        <v>250</v>
      </c>
      <c r="I78" s="24">
        <f>G78*H78</f>
        <v/>
      </c>
      <c r="J78" s="38" t="n">
        <v>0.25</v>
      </c>
      <c r="K78" s="24">
        <f>I78*J78</f>
        <v/>
      </c>
    </row>
    <row r="79">
      <c r="A79" s="6" t="inlineStr">
        <is>
          <t>TRX-0079</t>
        </is>
      </c>
      <c r="B79" s="6" t="inlineStr">
        <is>
          <t>2025-01-09</t>
        </is>
      </c>
      <c r="C79" s="6" t="inlineStr">
        <is>
          <t>South</t>
        </is>
      </c>
      <c r="D79" s="8" t="inlineStr">
        <is>
          <t>Tom Sawyer</t>
        </is>
      </c>
      <c r="E79" s="8" t="inlineStr">
        <is>
          <t>Electronics</t>
        </is>
      </c>
      <c r="F79" s="8" t="inlineStr">
        <is>
          <t>Headphones</t>
        </is>
      </c>
      <c r="G79" s="36" t="n">
        <v>148.472222222222</v>
      </c>
      <c r="H79" s="27" t="n">
        <v>250</v>
      </c>
      <c r="I79" s="27">
        <f>G79*H79</f>
        <v/>
      </c>
      <c r="J79" s="39" t="n">
        <v>0.25</v>
      </c>
      <c r="K79" s="27">
        <f>I79*J79</f>
        <v/>
      </c>
    </row>
    <row r="80">
      <c r="A80" s="9" t="inlineStr">
        <is>
          <t>TRX-0080</t>
        </is>
      </c>
      <c r="B80" s="9" t="inlineStr">
        <is>
          <t>2025-01-09</t>
        </is>
      </c>
      <c r="C80" s="9" t="inlineStr">
        <is>
          <t>North</t>
        </is>
      </c>
      <c r="D80" s="11" t="inlineStr">
        <is>
          <t>Tom Sawyer</t>
        </is>
      </c>
      <c r="E80" s="11" t="inlineStr">
        <is>
          <t>Electronics</t>
        </is>
      </c>
      <c r="F80" s="11" t="inlineStr">
        <is>
          <t>Laptop</t>
        </is>
      </c>
      <c r="G80" s="37" t="n">
        <v>144.022222222222</v>
      </c>
      <c r="H80" s="24" t="n">
        <v>250</v>
      </c>
      <c r="I80" s="24">
        <f>G80*H80</f>
        <v/>
      </c>
      <c r="J80" s="38" t="n">
        <v>0.25</v>
      </c>
      <c r="K80" s="24">
        <f>I80*J80</f>
        <v/>
      </c>
    </row>
    <row r="81">
      <c r="A81" s="6" t="inlineStr">
        <is>
          <t>TRX-0081</t>
        </is>
      </c>
      <c r="B81" s="6" t="inlineStr">
        <is>
          <t>2025-01-08</t>
        </is>
      </c>
      <c r="C81" s="6" t="inlineStr">
        <is>
          <t>West</t>
        </is>
      </c>
      <c r="D81" s="8" t="inlineStr">
        <is>
          <t>Tom Sawyer</t>
        </is>
      </c>
      <c r="E81" s="8" t="inlineStr">
        <is>
          <t>Furniture</t>
        </is>
      </c>
      <c r="F81" s="8" t="inlineStr">
        <is>
          <t>Cabinet</t>
        </is>
      </c>
      <c r="G81" s="36" t="n">
        <v>139.572222222222</v>
      </c>
      <c r="H81" s="27" t="n">
        <v>250</v>
      </c>
      <c r="I81" s="27">
        <f>G81*H81</f>
        <v/>
      </c>
      <c r="J81" s="39" t="n">
        <v>0.25</v>
      </c>
      <c r="K81" s="27">
        <f>I81*J81</f>
        <v/>
      </c>
    </row>
    <row r="82">
      <c r="A82" s="9" t="inlineStr">
        <is>
          <t>TRX-0082</t>
        </is>
      </c>
      <c r="B82" s="9" t="inlineStr">
        <is>
          <t>2025-01-08</t>
        </is>
      </c>
      <c r="C82" s="9" t="inlineStr">
        <is>
          <t>East</t>
        </is>
      </c>
      <c r="D82" s="11" t="inlineStr">
        <is>
          <t>Wendy Darling</t>
        </is>
      </c>
      <c r="E82" s="11" t="inlineStr">
        <is>
          <t>Supplies</t>
        </is>
      </c>
      <c r="F82" s="11" t="inlineStr">
        <is>
          <t>Pen</t>
        </is>
      </c>
      <c r="G82" s="37" t="n">
        <v>135.122222222222</v>
      </c>
      <c r="H82" s="24" t="n">
        <v>250</v>
      </c>
      <c r="I82" s="24">
        <f>G82*H82</f>
        <v/>
      </c>
      <c r="J82" s="38" t="n">
        <v>0.25</v>
      </c>
      <c r="K82" s="24">
        <f>I82*J82</f>
        <v/>
      </c>
    </row>
    <row r="83">
      <c r="A83" s="6" t="inlineStr">
        <is>
          <t>TRX-0083</t>
        </is>
      </c>
      <c r="B83" s="6" t="inlineStr">
        <is>
          <t>2025-01-07</t>
        </is>
      </c>
      <c r="C83" s="6" t="inlineStr">
        <is>
          <t>South</t>
        </is>
      </c>
      <c r="D83" s="8" t="inlineStr">
        <is>
          <t>Wendy Darling</t>
        </is>
      </c>
      <c r="E83" s="8" t="inlineStr">
        <is>
          <t>Electronics</t>
        </is>
      </c>
      <c r="F83" s="8" t="inlineStr">
        <is>
          <t>Monitor</t>
        </is>
      </c>
      <c r="G83" s="36" t="n">
        <v>130.672222222222</v>
      </c>
      <c r="H83" s="27" t="n">
        <v>250</v>
      </c>
      <c r="I83" s="27">
        <f>G83*H83</f>
        <v/>
      </c>
      <c r="J83" s="39" t="n">
        <v>0.25</v>
      </c>
      <c r="K83" s="27">
        <f>I83*J83</f>
        <v/>
      </c>
    </row>
    <row r="84">
      <c r="A84" s="9" t="inlineStr">
        <is>
          <t>TRX-0084</t>
        </is>
      </c>
      <c r="B84" s="9" t="inlineStr">
        <is>
          <t>2025-01-07</t>
        </is>
      </c>
      <c r="C84" s="9" t="inlineStr">
        <is>
          <t>North</t>
        </is>
      </c>
      <c r="D84" s="11" t="inlineStr">
        <is>
          <t>Mary Jones</t>
        </is>
      </c>
      <c r="E84" s="11" t="inlineStr">
        <is>
          <t>Furniture</t>
        </is>
      </c>
      <c r="F84" s="11" t="inlineStr">
        <is>
          <t>Chair</t>
        </is>
      </c>
      <c r="G84" s="37" t="n">
        <v>126.222222222222</v>
      </c>
      <c r="H84" s="24" t="n">
        <v>250</v>
      </c>
      <c r="I84" s="24">
        <f>G84*H84</f>
        <v/>
      </c>
      <c r="J84" s="38" t="n">
        <v>0.25</v>
      </c>
      <c r="K84" s="24">
        <f>I84*J84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2" t="inlineStr">
        <is>
          <t>⬅️ Back to Course Roadmap</t>
        </is>
      </c>
    </row>
    <row r="2">
      <c r="A2" s="1" t="inlineStr">
        <is>
          <t>📊 MODULE 6: EXECUTIVE MINI DASHBOARD CANVAS</t>
        </is>
      </c>
    </row>
    <row r="3">
      <c r="A3" s="2" t="inlineStr">
        <is>
          <t>Module Focus: 6 | Guided Practical Lab</t>
        </is>
      </c>
    </row>
    <row r="4"/>
    <row r="5">
      <c r="A5" s="3" t="inlineStr">
        <is>
          <t>🎯 DASHBOARD DESIGN PRINCIPLES:</t>
        </is>
      </c>
    </row>
    <row r="6">
      <c r="A6" s="4" t="inlineStr">
        <is>
          <t>1) Fits on a single screen without scrolling. 2) Highlights 3-4 High-Level KPI Cards. 3) Includes interactive Slicers. 4) Clean, uncluttered layout.</t>
        </is>
      </c>
    </row>
    <row r="7"/>
    <row r="8">
      <c r="A8" s="40" t="inlineStr">
        <is>
          <t>TOTAL REVENUE</t>
        </is>
      </c>
      <c r="D8" s="40" t="inlineStr">
        <is>
          <t>TOTAL UNITS SOLD</t>
        </is>
      </c>
      <c r="G8" s="40" t="inlineStr">
        <is>
          <t>TOTAL NET PROFIT</t>
        </is>
      </c>
      <c r="J8" s="40" t="inlineStr">
        <is>
          <t>PROFIT MARGIN</t>
        </is>
      </c>
    </row>
    <row r="9">
      <c r="A9" s="41" t="inlineStr">
        <is>
          <t>$148,250</t>
        </is>
      </c>
      <c r="D9" s="41" t="inlineStr">
        <is>
          <t>1,420</t>
        </is>
      </c>
      <c r="G9" s="41" t="inlineStr">
        <is>
          <t>$37,062</t>
        </is>
      </c>
      <c r="J9" s="41" t="inlineStr">
        <is>
          <t>25.0%</t>
        </is>
      </c>
    </row>
    <row r="10">
      <c r="A10" s="42" t="inlineStr">
        <is>
          <t>Total gross sales across all categories</t>
        </is>
      </c>
      <c r="D10" s="42" t="inlineStr">
        <is>
          <t>Total volume of products moved</t>
        </is>
      </c>
      <c r="G10" s="42" t="inlineStr">
        <is>
          <t>Net operational profit generated</t>
        </is>
      </c>
      <c r="J10" s="42" t="inlineStr">
        <is>
          <t>Blended operational margin</t>
        </is>
      </c>
    </row>
    <row r="11"/>
    <row r="12"/>
    <row r="13">
      <c r="A13" s="43" t="inlineStr">
        <is>
          <t>📈 [CHART PLACEHOLDER 1]
Revenue by Product Category
Insert a 2D Clustered Column Chart linked to your Pivot Table here.</t>
        </is>
      </c>
      <c r="G13" s="43" t="inlineStr">
        <is>
          <t>🍩 [CHART PLACEHOLDER 2]
Sales Contribution by Region
Insert a Donut or Bar Chart showing sales distribution across regions.</t>
        </is>
      </c>
    </row>
    <row r="14"/>
    <row r="15"/>
    <row r="16"/>
    <row r="17"/>
    <row r="18"/>
    <row r="19"/>
    <row r="20"/>
    <row r="21"/>
    <row r="22"/>
    <row r="23"/>
  </sheetData>
  <mergeCells count="14">
    <mergeCell ref="A10:C10"/>
    <mergeCell ref="G10:I10"/>
    <mergeCell ref="J10:L10"/>
    <mergeCell ref="A8:C8"/>
    <mergeCell ref="A9:C9"/>
    <mergeCell ref="G8:I8"/>
    <mergeCell ref="D9:F9"/>
    <mergeCell ref="G9:I9"/>
    <mergeCell ref="J8:L8"/>
    <mergeCell ref="A13:F23"/>
    <mergeCell ref="G13:L23"/>
    <mergeCell ref="J9:L9"/>
    <mergeCell ref="D8:F8"/>
    <mergeCell ref="D10:F10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9" customWidth="1" min="3" max="3"/>
    <col width="13" customWidth="1" min="4" max="4"/>
    <col width="19" customWidth="1" min="5" max="5"/>
    <col width="19" customWidth="1" min="6" max="6"/>
    <col width="40" customWidth="1" min="7" max="7"/>
    <col width="30" customWidth="1" min="8" max="8"/>
    <col width="32" customWidth="1" min="9" max="9"/>
    <col width="30" customWidth="1" min="10" max="10"/>
    <col width="34" customWidth="1" min="11" max="11"/>
    <col width="45" customWidth="1" min="12" max="12"/>
  </cols>
  <sheetData>
    <row r="1">
      <c r="A1" s="12" t="inlineStr">
        <is>
          <t>⬅️ Back to Course Roadmap</t>
        </is>
      </c>
    </row>
    <row r="2">
      <c r="A2" s="1" t="inlineStr">
        <is>
          <t>🏆 FINAL CAPSTONE PROJECT: EMPLOYEE PERFORMANCE &amp; COMPENSATION TRACKER</t>
        </is>
      </c>
    </row>
    <row r="3">
      <c r="A3" s="2" t="inlineStr">
        <is>
          <t>Module Focus: Capstone | Guided Practical Lab</t>
        </is>
      </c>
    </row>
    <row r="4"/>
    <row r="5">
      <c r="A5" s="3" t="inlineStr">
        <is>
          <t>🎯 CAPSTONE OBJECTIVE:</t>
        </is>
      </c>
    </row>
    <row r="6">
      <c r="A6" s="4" t="inlineStr">
        <is>
          <t>Synthesize everything you have mastered across all 6 modules: Data Cleaning + Lookups + IF Logic + Date Functions + Summary Statistics.</t>
        </is>
      </c>
    </row>
    <row r="7">
      <c r="A7" s="4" t="inlineStr">
        <is>
          <t>This mimics an authentic enterprise management report that will impress hiring managers and supervisors.</t>
        </is>
      </c>
    </row>
    <row r="8"/>
    <row r="9">
      <c r="A9" s="5" t="inlineStr">
        <is>
          <t>Staff ID</t>
        </is>
      </c>
      <c r="B9" s="5" t="inlineStr">
        <is>
          <t>Raw Name</t>
        </is>
      </c>
      <c r="C9" s="5" t="inlineStr">
        <is>
          <t>Department</t>
        </is>
      </c>
      <c r="D9" s="5" t="inlineStr">
        <is>
          <t>Hire Date</t>
        </is>
      </c>
      <c r="E9" s="5" t="inlineStr">
        <is>
          <t>Sales Target ($)</t>
        </is>
      </c>
      <c r="F9" s="5" t="inlineStr">
        <is>
          <t>Actual Sales ($)</t>
        </is>
      </c>
      <c r="G9" s="5" t="inlineStr">
        <is>
          <t>[CAPSTONE 1] Clean Name (PROPER+TRIM)</t>
        </is>
      </c>
      <c r="H9" s="5" t="inlineStr">
        <is>
          <t>[CAPSTONE 2] Tenure (Years)</t>
        </is>
      </c>
      <c r="I9" s="5" t="inlineStr">
        <is>
          <t>[CAPSTONE 3] Target Met? (IF)</t>
        </is>
      </c>
      <c r="J9" s="5" t="inlineStr">
        <is>
          <t>[CAPSTONE 4] Commission ($)</t>
        </is>
      </c>
      <c r="K9" s="5" t="inlineStr">
        <is>
          <t>[CAPSTONE 5] Grade Rating (IFS)</t>
        </is>
      </c>
      <c r="L9" s="5" t="inlineStr">
        <is>
          <t>Capstone Check</t>
        </is>
      </c>
    </row>
    <row r="10">
      <c r="A10" s="6" t="inlineStr">
        <is>
          <t>EMP-801</t>
        </is>
      </c>
      <c r="B10" s="8" t="inlineStr">
        <is>
          <t xml:space="preserve">  tolu  OLANIYAN</t>
        </is>
      </c>
      <c r="C10" s="8" t="inlineStr">
        <is>
          <t>Sales</t>
        </is>
      </c>
      <c r="D10" s="6" t="inlineStr">
        <is>
          <t>2021-03-15</t>
        </is>
      </c>
      <c r="E10" s="31" t="n">
        <v>100000</v>
      </c>
      <c r="F10" s="31" t="n">
        <v>142000</v>
      </c>
      <c r="G10" s="21" t="n"/>
      <c r="H10" s="21" t="n"/>
      <c r="I10" s="21" t="n"/>
      <c r="J10" s="44" t="n"/>
      <c r="K10" s="21" t="n"/>
      <c r="L10" s="22">
        <f>IF(G10="","🟡 Enter formulas",IF(G10=PROPER(TRIM(B10)),"✅ Step 1 Clean!","❌ Re-check"))</f>
        <v/>
      </c>
    </row>
    <row r="11">
      <c r="A11" s="6" t="inlineStr">
        <is>
          <t>EMP-802</t>
        </is>
      </c>
      <c r="B11" s="8" t="inlineStr">
        <is>
          <t xml:space="preserve">ngozi  eze </t>
        </is>
      </c>
      <c r="C11" s="8" t="inlineStr">
        <is>
          <t>Sales</t>
        </is>
      </c>
      <c r="D11" s="6" t="inlineStr">
        <is>
          <t>2023-07-01</t>
        </is>
      </c>
      <c r="E11" s="31" t="n">
        <v>100000</v>
      </c>
      <c r="F11" s="31" t="n">
        <v>89000</v>
      </c>
      <c r="G11" s="21" t="n"/>
      <c r="H11" s="21" t="n"/>
      <c r="I11" s="21" t="n"/>
      <c r="J11" s="44" t="n"/>
      <c r="K11" s="21" t="n"/>
      <c r="L11" s="22">
        <f>IF(G11="","🟡 Enter formulas",IF(G11=PROPER(TRIM(B11)),"✅ Step 1 Clean!","❌ Re-check"))</f>
        <v/>
      </c>
    </row>
    <row r="12">
      <c r="A12" s="6" t="inlineStr">
        <is>
          <t>EMP-803</t>
        </is>
      </c>
      <c r="B12" s="8" t="inlineStr">
        <is>
          <t xml:space="preserve"> ahmed  SANI  </t>
        </is>
      </c>
      <c r="C12" s="8" t="inlineStr">
        <is>
          <t>Customer Success</t>
        </is>
      </c>
      <c r="D12" s="6" t="inlineStr">
        <is>
          <t>2020-01-10</t>
        </is>
      </c>
      <c r="E12" s="31" t="n">
        <v>80000</v>
      </c>
      <c r="F12" s="31" t="n">
        <v>95000</v>
      </c>
      <c r="G12" s="21" t="n"/>
      <c r="H12" s="21" t="n"/>
      <c r="I12" s="21" t="n"/>
      <c r="J12" s="44" t="n"/>
      <c r="K12" s="21" t="n"/>
      <c r="L12" s="22">
        <f>IF(G12="","🟡 Enter formulas",IF(G12=PROPER(TRIM(B12)),"✅ Step 1 Clean!","❌ Re-check"))</f>
        <v/>
      </c>
    </row>
    <row r="13">
      <c r="A13" s="6" t="inlineStr">
        <is>
          <t>EMP-804</t>
        </is>
      </c>
      <c r="B13" s="8" t="inlineStr">
        <is>
          <t>kemi  ADELEKE</t>
        </is>
      </c>
      <c r="C13" s="8" t="inlineStr">
        <is>
          <t>Sales</t>
        </is>
      </c>
      <c r="D13" s="6" t="inlineStr">
        <is>
          <t>2022-11-20</t>
        </is>
      </c>
      <c r="E13" s="31" t="n">
        <v>100000</v>
      </c>
      <c r="F13" s="31" t="n">
        <v>115000</v>
      </c>
      <c r="G13" s="21" t="n"/>
      <c r="H13" s="21" t="n"/>
      <c r="I13" s="21" t="n"/>
      <c r="J13" s="44" t="n"/>
      <c r="K13" s="21" t="n"/>
      <c r="L13" s="22">
        <f>IF(G13="","🟡 Enter formulas",IF(G13=PROPER(TRIM(B13)),"✅ Step 1 Clean!","❌ Re-check"))</f>
        <v/>
      </c>
    </row>
    <row r="14">
      <c r="A14" s="6" t="inlineStr">
        <is>
          <t>EMP-805</t>
        </is>
      </c>
      <c r="B14" s="8" t="inlineStr">
        <is>
          <t xml:space="preserve">  emmanuel  OKON </t>
        </is>
      </c>
      <c r="C14" s="8" t="inlineStr">
        <is>
          <t>Customer Success</t>
        </is>
      </c>
      <c r="D14" s="6" t="inlineStr">
        <is>
          <t>2024-02-01</t>
        </is>
      </c>
      <c r="E14" s="31" t="n">
        <v>80000</v>
      </c>
      <c r="F14" s="31" t="n">
        <v>72000</v>
      </c>
      <c r="G14" s="21" t="n"/>
      <c r="H14" s="21" t="n"/>
      <c r="I14" s="21" t="n"/>
      <c r="J14" s="44" t="n"/>
      <c r="K14" s="21" t="n"/>
      <c r="L14" s="22">
        <f>IF(G14="","🟡 Enter formulas",IF(G14=PROPER(TRIM(B14)),"✅ Step 1 Clean!","❌ Re-check"))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45" customWidth="1" min="3" max="3"/>
    <col width="45" customWidth="1" min="4" max="4"/>
    <col width="45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🔑 MASTER SOLUTIONS &amp; FORMULA EXPLANATIONS</t>
        </is>
      </c>
    </row>
    <row r="3">
      <c r="A3" s="2" t="inlineStr">
        <is>
          <t>Module Focus: All Modules | Guided Practical Lab</t>
        </is>
      </c>
    </row>
    <row r="4"/>
    <row r="5">
      <c r="A5" s="3" t="inlineStr">
        <is>
          <t>📌 INSTRUCTOR &amp; STUDENT SOLUTION GUIDE</t>
        </is>
      </c>
    </row>
    <row r="6">
      <c r="A6" s="4" t="inlineStr">
        <is>
          <t>Use this sheet whenever you are stuck or want to verify the exact optimal formula syntax for every exercise.</t>
        </is>
      </c>
    </row>
    <row r="7"/>
    <row r="8">
      <c r="A8" s="5" t="inlineStr">
        <is>
          <t>Sheet / Module</t>
        </is>
      </c>
      <c r="B8" s="5" t="inlineStr">
        <is>
          <t>Exercise / Field</t>
        </is>
      </c>
      <c r="C8" s="5" t="inlineStr">
        <is>
          <t>Optimal Formula</t>
        </is>
      </c>
      <c r="D8" s="5" t="inlineStr">
        <is>
          <t>Step-by-Step Logic Explanation</t>
        </is>
      </c>
      <c r="E8" s="5" t="inlineStr">
        <is>
          <t>Alternative Formula</t>
        </is>
      </c>
    </row>
    <row r="9">
      <c r="A9" s="6" t="inlineStr">
        <is>
          <t>03_Mod2_Math</t>
        </is>
      </c>
      <c r="B9" s="8" t="inlineStr">
        <is>
          <t>Total Sales Column F</t>
        </is>
      </c>
      <c r="C9" s="45">
        <f>D10 * E10</f>
        <v/>
      </c>
      <c r="D9" s="8" t="inlineStr">
        <is>
          <t>Multiplies Units Sold (Col D) by Unit Price (Col E)</t>
        </is>
      </c>
      <c r="E9" s="8">
        <f>PRODUCT(D10, E10)</f>
        <v/>
      </c>
    </row>
    <row r="10">
      <c r="A10" s="9" t="inlineStr">
        <is>
          <t>03_Mod2_Math</t>
        </is>
      </c>
      <c r="B10" s="11" t="inlineStr">
        <is>
          <t>Total Company Revenue</t>
        </is>
      </c>
      <c r="C10" s="46">
        <f>SUM(F10:F19)</f>
        <v/>
      </c>
      <c r="D10" s="11" t="inlineStr">
        <is>
          <t>Adds all product sales together</t>
        </is>
      </c>
      <c r="E10" s="11" t="inlineStr">
        <is>
          <t>AutoSum: Alt + =</t>
        </is>
      </c>
    </row>
    <row r="11">
      <c r="A11" s="6" t="inlineStr">
        <is>
          <t>03_Mod2_Math</t>
        </is>
      </c>
      <c r="B11" s="8" t="inlineStr">
        <is>
          <t>Average Product Revenue</t>
        </is>
      </c>
      <c r="C11" s="45">
        <f>AVERAGE(F10:F19)</f>
        <v/>
      </c>
      <c r="D11" s="8" t="inlineStr">
        <is>
          <t>Computes arithmetic mean of revenue</t>
        </is>
      </c>
      <c r="E11" s="8" t="inlineStr">
        <is>
          <t>None</t>
        </is>
      </c>
    </row>
    <row r="12">
      <c r="A12" s="9" t="inlineStr">
        <is>
          <t>03_Mod2_Math</t>
        </is>
      </c>
      <c r="B12" s="11" t="inlineStr">
        <is>
          <t>Highest Product Revenue</t>
        </is>
      </c>
      <c r="C12" s="46">
        <f>MAX(F10:F19)</f>
        <v/>
      </c>
      <c r="D12" s="11" t="inlineStr">
        <is>
          <t>Finds maximum value in revenue range</t>
        </is>
      </c>
      <c r="E12" s="11" t="inlineStr">
        <is>
          <t>None</t>
        </is>
      </c>
    </row>
    <row r="13">
      <c r="A13" s="6" t="inlineStr">
        <is>
          <t>03_Mod2_Math</t>
        </is>
      </c>
      <c r="B13" s="8" t="inlineStr">
        <is>
          <t>Lowest Product Revenue</t>
        </is>
      </c>
      <c r="C13" s="45">
        <f>MIN(F10:F19)</f>
        <v/>
      </c>
      <c r="D13" s="8" t="inlineStr">
        <is>
          <t>Finds minimum value in revenue range</t>
        </is>
      </c>
      <c r="E13" s="8" t="inlineStr">
        <is>
          <t>None</t>
        </is>
      </c>
    </row>
    <row r="14">
      <c r="A14" s="9" t="inlineStr">
        <is>
          <t>04_Mod3_Logical</t>
        </is>
      </c>
      <c r="B14" s="11" t="inlineStr">
        <is>
          <t>Met Target? (Col I)</t>
        </is>
      </c>
      <c r="C14" s="46">
        <f>IF(D10&gt;=E10, "Yes", "No")</f>
        <v/>
      </c>
      <c r="D14" s="11" t="inlineStr">
        <is>
          <t>Checks if Actual &gt;= Target. If true 'Yes', else 'No'</t>
        </is>
      </c>
      <c r="E14" s="11" t="inlineStr">
        <is>
          <t>None</t>
        </is>
      </c>
    </row>
    <row r="15">
      <c r="A15" s="6" t="inlineStr">
        <is>
          <t>04_Mod3_Logical</t>
        </is>
      </c>
      <c r="B15" s="8" t="inlineStr">
        <is>
          <t>Bonus Amount (Col J)</t>
        </is>
      </c>
      <c r="C15" s="45">
        <f>IF(D10&gt;=E10, D10*0.05, 0)</f>
        <v/>
      </c>
      <c r="D15" s="8" t="inlineStr">
        <is>
          <t>Awards 5% of actual sales if target is met, else 0</t>
        </is>
      </c>
      <c r="E15" s="8">
        <f>IF(D10&gt;=E10, D10*5%, 0)</f>
        <v/>
      </c>
    </row>
    <row r="16">
      <c r="A16" s="9" t="inlineStr">
        <is>
          <t>04_Mod3_Logical</t>
        </is>
      </c>
      <c r="B16" s="11" t="inlineStr">
        <is>
          <t>Promotion Eligible? (Col K)</t>
        </is>
      </c>
      <c r="C16" s="46">
        <f>IF(AND(D10&gt;=E10, F10&gt;=3), "Eligible", "Wait")</f>
        <v/>
      </c>
      <c r="D16" s="11" t="inlineStr">
        <is>
          <t>Requires BOTH: Target met AND at least 3 years service</t>
        </is>
      </c>
      <c r="E16" s="11" t="inlineStr">
        <is>
          <t>None</t>
        </is>
      </c>
    </row>
    <row r="17">
      <c r="A17" s="6" t="inlineStr">
        <is>
          <t>04_Mod3_Logical</t>
        </is>
      </c>
      <c r="B17" s="8" t="inlineStr">
        <is>
          <t>Performance Warning? (Col L)</t>
        </is>
      </c>
      <c r="C17" s="45">
        <f>IF(OR(G10&lt;0.85, H10&lt;3.0), "Warning", "OK")</f>
        <v/>
      </c>
      <c r="D17" s="8" t="inlineStr">
        <is>
          <t>Triggers warning if EITHER Attendance &lt; 85% OR Rating &lt; 3.0</t>
        </is>
      </c>
      <c r="E17" s="8" t="inlineStr">
        <is>
          <t>None</t>
        </is>
      </c>
    </row>
    <row r="18">
      <c r="A18" s="9" t="inlineStr">
        <is>
          <t>04_Mod3_Logical</t>
        </is>
      </c>
      <c r="B18" s="11" t="inlineStr">
        <is>
          <t>Performance Tier (Col M)</t>
        </is>
      </c>
      <c r="C18" s="46">
        <f>IFS(H10&gt;=4.5,"Top Talent", H10&gt;=3.5,"Good", H10&gt;=2.5,"Average", TRUE,"Underperforming")</f>
        <v/>
      </c>
      <c r="D18" s="11" t="inlineStr">
        <is>
          <t>Evaluates rating tiers in priority order</t>
        </is>
      </c>
      <c r="E18" s="11" t="inlineStr">
        <is>
          <t>Nested IF</t>
        </is>
      </c>
    </row>
    <row r="19">
      <c r="A19" s="6" t="inlineStr">
        <is>
          <t>05_Mod3_Text</t>
        </is>
      </c>
      <c r="B19" s="8" t="inlineStr">
        <is>
          <t>Clean Name (Col C)</t>
        </is>
      </c>
      <c r="C19" s="45">
        <f>PROPER(TRIM(A10))</f>
        <v/>
      </c>
      <c r="D19" s="8" t="inlineStr">
        <is>
          <t>TRIM eliminates extra spaces; PROPER capitalizes each word</t>
        </is>
      </c>
      <c r="E19" s="8" t="inlineStr">
        <is>
          <t>None</t>
        </is>
      </c>
    </row>
    <row r="20">
      <c r="A20" s="9" t="inlineStr">
        <is>
          <t>05_Mod3_Text</t>
        </is>
      </c>
      <c r="B20" s="11" t="inlineStr">
        <is>
          <t>Area Code (Col D)</t>
        </is>
      </c>
      <c r="C20" s="46">
        <f>LEFT(B10, 4)</f>
        <v/>
      </c>
      <c r="D20" s="11" t="inlineStr">
        <is>
          <t>Extracts first 4 characters from the left</t>
        </is>
      </c>
      <c r="E20" s="11" t="inlineStr">
        <is>
          <t>None</t>
        </is>
      </c>
    </row>
    <row r="21">
      <c r="A21" s="6" t="inlineStr">
        <is>
          <t>05_Mod3_Text</t>
        </is>
      </c>
      <c r="B21" s="8" t="inlineStr">
        <is>
          <t>Last 4 Digits (Col E)</t>
        </is>
      </c>
      <c r="C21" s="45">
        <f>RIGHT(B10, 4)</f>
        <v/>
      </c>
      <c r="D21" s="8" t="inlineStr">
        <is>
          <t>Extracts last 4 characters from the right</t>
        </is>
      </c>
      <c r="E21" s="8" t="inlineStr">
        <is>
          <t>None</t>
        </is>
      </c>
    </row>
    <row r="22">
      <c r="A22" s="9" t="inlineStr">
        <is>
          <t>05_Mod3_Text</t>
        </is>
      </c>
      <c r="B22" s="11" t="inlineStr">
        <is>
          <t>Corporate Email (Col G)</t>
        </is>
      </c>
      <c r="C22" s="46">
        <f>LOWER(SUBSTITUTE(C10, " ", ".")) &amp; "@company.com"</f>
        <v/>
      </c>
      <c r="D22" s="11" t="inlineStr">
        <is>
          <t>Converts clean name into firstname.lastname@company.com</t>
        </is>
      </c>
      <c r="E22" s="11">
        <f>TEXTJOIN()</f>
        <v/>
      </c>
    </row>
    <row r="23">
      <c r="A23" s="6" t="inlineStr">
        <is>
          <t>07_Mod5_Lookups</t>
        </is>
      </c>
      <c r="B23" s="8" t="inlineStr">
        <is>
          <t>Product Name (Col D)</t>
        </is>
      </c>
      <c r="C23" s="45">
        <f>VLOOKUP(B21, $A$11:$E$16, 2, FALSE)</f>
        <v/>
      </c>
      <c r="D23" s="8" t="inlineStr">
        <is>
          <t>Searches Code in Catalog, returns 2nd column. FALSE = exact match</t>
        </is>
      </c>
      <c r="E23" s="8">
        <f>XLOOKUP(B21, $A$11:$A$16, $B$11:$B$16)</f>
        <v/>
      </c>
    </row>
    <row r="24">
      <c r="A24" s="9" t="inlineStr">
        <is>
          <t>07_Mod5_Lookups</t>
        </is>
      </c>
      <c r="B24" s="11" t="inlineStr">
        <is>
          <t>Unit Cost (Col E)</t>
        </is>
      </c>
      <c r="C24" s="46">
        <f>XLOOKUP(B21, $A$11:$A$16, $D$11:$D$16, "Not Found")</f>
        <v/>
      </c>
      <c r="D24" s="11" t="inlineStr">
        <is>
          <t>Modern lookup: finds code, returns cost. Handles errors cleanly</t>
        </is>
      </c>
      <c r="E24" s="11">
        <f>INDEX($D$11:$D$16, MATCH(B21,$A$11:$A$16,0))</f>
        <v/>
      </c>
    </row>
    <row r="25">
      <c r="A25" s="6" t="inlineStr">
        <is>
          <t>07_Mod5_Lookups</t>
        </is>
      </c>
      <c r="B25" s="8" t="inlineStr">
        <is>
          <t>Stock Quantity (Col F)</t>
        </is>
      </c>
      <c r="C25" s="45">
        <f>INDEX($E$11:$E$16, MATCH(B21, $A$11:$A$16, 0))</f>
        <v/>
      </c>
      <c r="D25" s="8" t="inlineStr">
        <is>
          <t>MATCH finds row number; INDEX retrieves stock from column E</t>
        </is>
      </c>
      <c r="E25" s="8">
        <f>XLOOKUP(B21, $A$11:$A$16, $E$11:$E$16)</f>
        <v/>
      </c>
    </row>
    <row r="26">
      <c r="A26" s="9" t="inlineStr">
        <is>
          <t>08_Mod5_Dates</t>
        </is>
      </c>
      <c r="B26" s="11" t="inlineStr">
        <is>
          <t>Days Remaining (Col E)</t>
        </is>
      </c>
      <c r="C26" s="46">
        <f>D10 - TODAY()</f>
        <v/>
      </c>
      <c r="D26" s="11" t="inlineStr">
        <is>
          <t>Subtracts today's live date from target due date</t>
        </is>
      </c>
      <c r="E26" s="11" t="inlineStr">
        <is>
          <t>None</t>
        </is>
      </c>
    </row>
    <row r="27">
      <c r="A27" s="6" t="inlineStr">
        <is>
          <t>08_Mod5_Dates</t>
        </is>
      </c>
      <c r="B27" s="8" t="inlineStr">
        <is>
          <t>Overdue Status (Col F)</t>
        </is>
      </c>
      <c r="C27" s="45">
        <f>IF(E10&lt;0, "Overdue", IF(E10&lt;=30, "Urgent", "On Track"))</f>
        <v/>
      </c>
      <c r="D27" s="8" t="inlineStr">
        <is>
          <t>Categorizes tasks by days remaining</t>
        </is>
      </c>
      <c r="E27" s="8">
        <f>IFS()</f>
        <v/>
      </c>
    </row>
    <row r="28">
      <c r="A28" s="9" t="inlineStr">
        <is>
          <t>08_Mod5_Dates</t>
        </is>
      </c>
      <c r="B28" s="11" t="inlineStr">
        <is>
          <t>Workdays Allocated (Col H)</t>
        </is>
      </c>
      <c r="C28" s="46">
        <f>NETWORKDAYS(C10, D10)</f>
        <v/>
      </c>
      <c r="D28" s="11" t="inlineStr">
        <is>
          <t>Calculates working days excluding weekends</t>
        </is>
      </c>
      <c r="E28" s="11" t="inlineStr">
        <is>
          <t>None</t>
        </is>
      </c>
    </row>
    <row r="29">
      <c r="A29" s="6" t="inlineStr">
        <is>
          <t>11_Final_Capstone</t>
        </is>
      </c>
      <c r="B29" s="8" t="inlineStr">
        <is>
          <t>Clean Name (Col G)</t>
        </is>
      </c>
      <c r="C29" s="45">
        <f>PROPER(TRIM(B10))</f>
        <v/>
      </c>
      <c r="D29" s="8" t="inlineStr">
        <is>
          <t>Cleans raw employee name</t>
        </is>
      </c>
      <c r="E29" s="8" t="inlineStr">
        <is>
          <t>None</t>
        </is>
      </c>
    </row>
    <row r="30">
      <c r="A30" s="9" t="inlineStr">
        <is>
          <t>11_Final_Capstone</t>
        </is>
      </c>
      <c r="B30" s="11" t="inlineStr">
        <is>
          <t>Tenure in Years (Col H)</t>
        </is>
      </c>
      <c r="C30" s="46">
        <f>DATEDIF(D10, TODAY(), "Y")</f>
        <v/>
      </c>
      <c r="D30" s="11" t="inlineStr">
        <is>
          <t>Calculates elapsed completed years of employment</t>
        </is>
      </c>
      <c r="E30" s="11">
        <f>YEAR(TODAY())-YEAR(D10)</f>
        <v/>
      </c>
    </row>
    <row r="31">
      <c r="A31" s="6" t="inlineStr">
        <is>
          <t>11_Final_Capstone</t>
        </is>
      </c>
      <c r="B31" s="8" t="inlineStr">
        <is>
          <t>Commission (Col J)</t>
        </is>
      </c>
      <c r="C31" s="45">
        <f>IF(F10&gt;=E10, F10*0.075, 0)</f>
        <v/>
      </c>
      <c r="D31" s="8" t="inlineStr">
        <is>
          <t>Awards 7.5% commission if target met</t>
        </is>
      </c>
      <c r="E31" s="8" t="inlineStr">
        <is>
          <t>None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2026-10-05T19:03:40Z</dcterms:created>
  <dcterms:modified xmlns:dcterms="http://purl.org/dc/terms/" xmlns:xsi="http://www.w3.org/2001/XMLSchema-instance" xsi:type="dcterms:W3CDTF">2026-10-05T19:03:40Z</dcterms:modified>
</cp:coreProperties>
</file>